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onso\Desktop\Projects On Data Analytics\"/>
    </mc:Choice>
  </mc:AlternateContent>
  <bookViews>
    <workbookView xWindow="480" yWindow="405" windowWidth="19875" windowHeight="7980" tabRatio="668" activeTab="2"/>
  </bookViews>
  <sheets>
    <sheet name="Raw Data" sheetId="1" r:id="rId1"/>
    <sheet name="Summary Stats" sheetId="3" r:id="rId2"/>
    <sheet name="Analysis" sheetId="2" r:id="rId3"/>
    <sheet name="Dashboard" sheetId="4" r:id="rId4"/>
  </sheets>
  <definedNames>
    <definedName name="Slicer_Age_Group">#N/A</definedName>
    <definedName name="Slicer_Churn_Rate">#N/A</definedName>
    <definedName name="Slicer_City">#N/A</definedName>
    <definedName name="Slicer_Gender">#N/A</definedName>
    <definedName name="Slicer_Membership_Type">#N/A</definedName>
    <definedName name="Slicer_Weeks_Since_Last_Purchase">#N/A</definedName>
  </definedNames>
  <calcPr calcId="162913"/>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3" l="1"/>
  <c r="C2" i="3"/>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L2" i="1" l="1"/>
  <c r="E2" i="3" l="1"/>
  <c r="G2" i="3" l="1"/>
  <c r="A2" i="3"/>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K2" i="3" l="1"/>
</calcChain>
</file>

<file path=xl/sharedStrings.xml><?xml version="1.0" encoding="utf-8"?>
<sst xmlns="http://schemas.openxmlformats.org/spreadsheetml/2006/main" count="1475" uniqueCount="52">
  <si>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</si>
  <si>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</si>
  <si>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</si>
  <si>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</si>
  <si>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</si>
  <si>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</si>
  <si>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</si>
  <si>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</si>
  <si>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</si>
  <si>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</si>
  <si>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</si>
  <si>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</si>
  <si>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</si>
  <si>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</si>
  <si>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</si>
  <si>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</si>
  <si>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</si>
  <si>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</si>
  <si>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</si>
  <si>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</si>
  <si>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</si>
  <si>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</si>
  <si>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</si>
  <si>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</si>
  <si>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</si>
  <si>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Age Group</t>
  </si>
  <si>
    <t>Spend Level</t>
  </si>
  <si>
    <t>Weeks Since Last Purchase</t>
  </si>
  <si>
    <t>Total Revenue</t>
  </si>
  <si>
    <t>Total Customer</t>
  </si>
  <si>
    <t>Customers at Risk</t>
  </si>
  <si>
    <t>Average of Total Spend</t>
  </si>
  <si>
    <t>FALSE</t>
  </si>
  <si>
    <t>TRUE</t>
  </si>
  <si>
    <t>At Risk</t>
  </si>
  <si>
    <t>Low Risk</t>
  </si>
  <si>
    <t>26-30</t>
  </si>
  <si>
    <t>31-35</t>
  </si>
  <si>
    <t>36-40</t>
  </si>
  <si>
    <t>41-43</t>
  </si>
  <si>
    <t>Discount applied</t>
  </si>
  <si>
    <t>Churn Risk</t>
  </si>
  <si>
    <t>Average Spend</t>
  </si>
  <si>
    <t>Total Item Purchased</t>
  </si>
  <si>
    <t>Churn At Risk Rate</t>
  </si>
  <si>
    <t>Sum of Items Purchased</t>
  </si>
  <si>
    <t>Average of Items Purchased</t>
  </si>
  <si>
    <t>Row Labels</t>
  </si>
  <si>
    <t>Total Customers</t>
  </si>
  <si>
    <t>Total Items Purchased</t>
  </si>
  <si>
    <t>Column Labels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</si>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</sst>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0.00"/>
    <numFmt numFmtId="165" formatCode="[$$-409]#,##0"/>
  </numFmts>
  <fonts count="2" x14ac:knownFonts="1">
    <font>
      <sz val="11"/>
      <color theme="1"/>
      <name val="Calibri"/>
      <family val="2"/>
      <charset val="1"/>
      <scheme val="minor"/>
    </font>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49" fontId="0" fillId="0" borderId="0" xfId="0" applyNumberFormat="1"/>
    <xf numFmtId="0" fontId="0" fillId="0" borderId="0" xfId="0" applyNumberFormat="1"/>
    <xf numFmtId="164" fontId="0" fillId="0" borderId="0" xfId="0" applyNumberFormat="1"/>
    <xf numFmtId="165" fontId="0" fillId="0" borderId="0" xfId="0" applyNumberFormat="1"/>
    <xf numFmtId="9" fontId="0" fillId="0" borderId="0" xfId="1" applyFont="1"/>
    <xf numFmtId="0" fontId="0" fillId="0" borderId="0" xfId="0" pivotButton="1"/>
    <xf numFmtId="0" fontId="0" fillId="0" borderId="0" xfId="0" applyAlignment="1">
      <alignment horizontal="left"/>
    </xf>
    <xf numFmtId="1" fontId="0" fillId="0" borderId="0" xfId="0" applyNumberFormat="1"/>
  </cellXfs>
  <cellStyles count="2">
    <cellStyle name="Normal" xfId="0" builtinId="0"/>
    <cellStyle name="Percent" xfId="1" builtinId="5"/>
  </cellStyles>
  <dxfs count="78">
    <dxf>
      <numFmt numFmtId="1" formatCode="0"/>
    </dxf>
    <dxf>
      <numFmt numFmtId="171" formatCode="0.0%"/>
    </dxf>
    <dxf>
      <numFmt numFmtId="13" formatCode="0%"/>
    </dxf>
    <dxf>
      <numFmt numFmtId="0" formatCode="General"/>
    </dxf>
    <dxf>
      <numFmt numFmtId="166" formatCode="0.000000"/>
    </dxf>
    <dxf>
      <numFmt numFmtId="167" formatCode="0.00000"/>
    </dxf>
    <dxf>
      <numFmt numFmtId="168" formatCode="0.0000"/>
    </dxf>
    <dxf>
      <numFmt numFmtId="169" formatCode="0.000"/>
    </dxf>
    <dxf>
      <numFmt numFmtId="2" formatCode="0.00"/>
    </dxf>
    <dxf>
      <numFmt numFmtId="170" formatCode="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1" formatCode="0.0%"/>
    </dxf>
    <dxf>
      <numFmt numFmtId="13" formatCode="0%"/>
    </dxf>
    <dxf>
      <numFmt numFmtId="0" formatCode="General"/>
    </dxf>
    <dxf>
      <numFmt numFmtId="167" formatCode="0.00000"/>
    </dxf>
    <dxf>
      <numFmt numFmtId="168" formatCode="0.0000"/>
    </dxf>
    <dxf>
      <numFmt numFmtId="169" formatCode="0.000"/>
    </dxf>
    <dxf>
      <numFmt numFmtId="2" formatCode="0.00"/>
    </dxf>
    <dxf>
      <numFmt numFmtId="170" formatCode="0.0"/>
    </dxf>
    <dxf>
      <numFmt numFmtId="1" formatCode="0"/>
    </dxf>
    <dxf>
      <numFmt numFmtId="171" formatCode="0.0%"/>
    </dxf>
    <dxf>
      <numFmt numFmtId="13" formatCode="0%"/>
    </dxf>
    <dxf>
      <numFmt numFmtId="0" formatCode="General"/>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1" formatCode="0.0%"/>
    </dxf>
    <dxf>
      <numFmt numFmtId="13" formatCode="0%"/>
    </dxf>
    <dxf>
      <numFmt numFmtId="171" formatCode="0.0%"/>
    </dxf>
    <dxf>
      <numFmt numFmtId="13" formatCode="0%"/>
    </dxf>
    <dxf>
      <numFmt numFmtId="0" formatCode="General"/>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1" formatCode="0.0%"/>
    </dxf>
    <dxf>
      <numFmt numFmtId="13" formatCode="0%"/>
    </dxf>
    <dxf>
      <numFmt numFmtId="0" formatCode="General"/>
    </dxf>
    <dxf>
      <numFmt numFmtId="0" formatCode="General"/>
    </dxf>
    <dxf>
      <numFmt numFmtId="172" formatCode="0.00000000"/>
    </dxf>
    <dxf>
      <numFmt numFmtId="173"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1" formatCode="0.0%"/>
    </dxf>
    <dxf>
      <numFmt numFmtId="13" formatCode="0%"/>
    </dxf>
    <dxf>
      <numFmt numFmtId="0" formatCode="General"/>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0" formatCode="General"/>
    </dxf>
    <dxf>
      <numFmt numFmtId="0" formatCode="General"/>
    </dxf>
    <dxf>
      <numFmt numFmtId="0" formatCode="General"/>
    </dxf>
    <dxf>
      <numFmt numFmtId="0" formatCode="General"/>
    </dxf>
    <dxf>
      <numFmt numFmtId="30" formatCode="@"/>
    </dxf>
    <dxf>
      <numFmt numFmtId="164" formatCode="[$$-409]#,##0.0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Times New Roman" panose="02020603050405020304" pitchFamily="18" charset="0"/>
                <a:cs typeface="Times New Roman" panose="02020603050405020304" pitchFamily="18" charset="0"/>
              </a:rPr>
              <a:t>Which Segments By Gender Spend The Most ?</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pivotFmt>
      <c:pivotFmt>
        <c:idx val="1"/>
        <c:spPr>
          <a:solidFill>
            <a:schemeClr val="accent3">
              <a:lumMod val="60000"/>
              <a:lumOff val="40000"/>
            </a:schemeClr>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pivotFmt>
      <c:pivotFmt>
        <c:idx val="5"/>
        <c:spPr>
          <a:solidFill>
            <a:schemeClr val="accent3">
              <a:lumMod val="50000"/>
            </a:schemeClr>
          </a:solidFill>
          <a:ln>
            <a:noFill/>
          </a:ln>
          <a:effectLst/>
        </c:spPr>
        <c:marker>
          <c:symbol val="none"/>
        </c:marker>
      </c:pivotFmt>
      <c:pivotFmt>
        <c:idx val="6"/>
        <c:spPr>
          <a:solidFill>
            <a:schemeClr val="accent3">
              <a:lumMod val="50000"/>
            </a:schemeClr>
          </a:solidFill>
          <a:ln>
            <a:noFill/>
          </a:ln>
          <a:effectLst/>
        </c:spPr>
        <c:marker>
          <c:symbol val="none"/>
        </c:marker>
      </c:pivotFmt>
      <c:pivotFmt>
        <c:idx val="7"/>
        <c:spPr>
          <a:solidFill>
            <a:schemeClr val="accent3">
              <a:lumMod val="60000"/>
              <a:lumOff val="40000"/>
            </a:schemeClr>
          </a:solidFill>
          <a:ln>
            <a:noFill/>
          </a:ln>
          <a:effectLst/>
        </c:spPr>
        <c:marker>
          <c:symbol val="none"/>
        </c:marker>
      </c:pivotFmt>
      <c:pivotFmt>
        <c:idx val="8"/>
        <c:spPr>
          <a:solidFill>
            <a:schemeClr val="accent3">
              <a:lumMod val="50000"/>
            </a:schemeClr>
          </a:solidFill>
          <a:ln>
            <a:noFill/>
          </a:ln>
          <a:effectLst/>
        </c:spPr>
        <c:marker>
          <c:symbol val="none"/>
        </c:marker>
      </c:pivotFmt>
      <c:pivotFmt>
        <c:idx val="9"/>
        <c:spPr>
          <a:solidFill>
            <a:schemeClr val="accent3">
              <a:lumMod val="60000"/>
              <a:lumOff val="40000"/>
            </a:schemeClr>
          </a:solidFill>
          <a:ln>
            <a:noFill/>
          </a:ln>
          <a:effectLst/>
        </c:spPr>
        <c:marker>
          <c:symbol val="none"/>
        </c:marker>
      </c:pivotFmt>
      <c:pivotFmt>
        <c:idx val="10"/>
        <c:spPr>
          <a:solidFill>
            <a:schemeClr val="accent3">
              <a:lumMod val="50000"/>
            </a:schemeClr>
          </a:solidFill>
          <a:ln>
            <a:noFill/>
          </a:ln>
          <a:effectLst/>
        </c:spPr>
        <c:marker>
          <c:symbol val="none"/>
        </c:marker>
      </c:pivotFmt>
      <c:pivotFmt>
        <c:idx val="11"/>
        <c:spPr>
          <a:solidFill>
            <a:schemeClr val="accent3">
              <a:lumMod val="60000"/>
              <a:lumOff val="40000"/>
            </a:schemeClr>
          </a:solidFill>
          <a:ln>
            <a:noFill/>
          </a:ln>
          <a:effectLst/>
        </c:spPr>
        <c:marker>
          <c:symbol val="none"/>
        </c:marker>
      </c:pivotFmt>
      <c:pivotFmt>
        <c:idx val="12"/>
        <c:spPr>
          <a:solidFill>
            <a:schemeClr val="accent3">
              <a:lumMod val="50000"/>
            </a:schemeClr>
          </a:solidFill>
          <a:ln>
            <a:noFill/>
          </a:ln>
          <a:effectLst/>
        </c:spPr>
        <c:marker>
          <c:symbol val="none"/>
        </c:marker>
      </c:pivotFmt>
      <c:pivotFmt>
        <c:idx val="13"/>
        <c:spPr>
          <a:solidFill>
            <a:schemeClr val="accent3">
              <a:lumMod val="60000"/>
              <a:lumOff val="40000"/>
            </a:schemeClr>
          </a:solidFill>
          <a:ln>
            <a:noFill/>
          </a:ln>
          <a:effectLst/>
        </c:spPr>
        <c:marker>
          <c:symbol val="none"/>
        </c:marker>
      </c:pivotFmt>
    </c:pivotFmts>
    <c:plotArea>
      <c:layout/>
      <c:barChart>
        <c:barDir val="bar"/>
        <c:grouping val="stacked"/>
        <c:varyColors val="0"/>
        <c:ser>
          <c:idx val="0"/>
          <c:order val="0"/>
          <c:tx>
            <c:strRef>
              <c:f>Analysis!$B$104</c:f>
              <c:strCache>
                <c:ptCount val="1"/>
                <c:pt idx="0">
                  <c:v>Average of Total Spend</c:v>
                </c:pt>
              </c:strCache>
            </c:strRef>
          </c:tx>
          <c:spPr>
            <a:solidFill>
              <a:schemeClr val="accent3">
                <a:lumMod val="50000"/>
              </a:schemeClr>
            </a:solidFill>
            <a:ln>
              <a:noFill/>
            </a:ln>
            <a:effectLst/>
          </c:spPr>
          <c:invertIfNegative val="0"/>
          <c:dLbls>
            <c:delete val="1"/>
          </c:dLbls>
          <c:cat>
            <c:strRef>
              <c:f>Analysis!$A$105:$A$106</c:f>
              <c:strCache>
                <c:ptCount val="2"/>
                <c:pt idx="0">
                  <c:v>Female</c:v>
                </c:pt>
                <c:pt idx="1">
                  <c:v>Male</c:v>
                </c:pt>
              </c:strCache>
            </c:strRef>
          </c:cat>
          <c:val>
            <c:numRef>
              <c:f>Analysis!$B$105:$B$106</c:f>
              <c:numCache>
                <c:formatCode>0</c:formatCode>
                <c:ptCount val="2"/>
                <c:pt idx="0">
                  <c:v>703.82857142857222</c:v>
                </c:pt>
                <c:pt idx="1">
                  <c:v>986.9348571428568</c:v>
                </c:pt>
              </c:numCache>
            </c:numRef>
          </c:val>
          <c:extLst>
            <c:ext xmlns:c16="http://schemas.microsoft.com/office/drawing/2014/chart" uri="{C3380CC4-5D6E-409C-BE32-E72D297353CC}">
              <c16:uniqueId val="{00000000-56BE-4F41-A5C0-096FF9554C74}"/>
            </c:ext>
          </c:extLst>
        </c:ser>
        <c:ser>
          <c:idx val="1"/>
          <c:order val="1"/>
          <c:tx>
            <c:strRef>
              <c:f>Analysis!$C$104</c:f>
              <c:strCache>
                <c:ptCount val="1"/>
                <c:pt idx="0">
                  <c:v>Total Items Purchased</c:v>
                </c:pt>
              </c:strCache>
            </c:strRef>
          </c:tx>
          <c:spPr>
            <a:solidFill>
              <a:schemeClr val="accent3">
                <a:lumMod val="60000"/>
                <a:lumOff val="40000"/>
              </a:schemeClr>
            </a:solidFill>
            <a:ln>
              <a:noFill/>
            </a:ln>
            <a:effectLst/>
          </c:spPr>
          <c:invertIfNegative val="0"/>
          <c:dLbls>
            <c:delete val="1"/>
          </c:dLbls>
          <c:cat>
            <c:strRef>
              <c:f>Analysis!$A$105:$A$106</c:f>
              <c:strCache>
                <c:ptCount val="2"/>
                <c:pt idx="0">
                  <c:v>Female</c:v>
                </c:pt>
                <c:pt idx="1">
                  <c:v>Male</c:v>
                </c:pt>
              </c:strCache>
            </c:strRef>
          </c:cat>
          <c:val>
            <c:numRef>
              <c:f>Analysis!$C$105:$C$106</c:f>
              <c:numCache>
                <c:formatCode>General</c:formatCode>
                <c:ptCount val="2"/>
                <c:pt idx="0">
                  <c:v>1883</c:v>
                </c:pt>
                <c:pt idx="1">
                  <c:v>2527</c:v>
                </c:pt>
              </c:numCache>
            </c:numRef>
          </c:val>
          <c:extLst>
            <c:ext xmlns:c16="http://schemas.microsoft.com/office/drawing/2014/chart" uri="{C3380CC4-5D6E-409C-BE32-E72D297353CC}">
              <c16:uniqueId val="{00000001-56BE-4F41-A5C0-096FF9554C74}"/>
            </c:ext>
          </c:extLst>
        </c:ser>
        <c:dLbls>
          <c:showLegendKey val="0"/>
          <c:showVal val="1"/>
          <c:showCatName val="0"/>
          <c:showSerName val="0"/>
          <c:showPercent val="0"/>
          <c:showBubbleSize val="0"/>
        </c:dLbls>
        <c:gapWidth val="10"/>
        <c:overlap val="100"/>
        <c:axId val="103483008"/>
        <c:axId val="103465120"/>
      </c:barChart>
      <c:catAx>
        <c:axId val="103483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latin typeface="Times New Roman" panose="02020603050405020304" pitchFamily="18" charset="0"/>
                    <a:cs typeface="Times New Roman" panose="02020603050405020304" pitchFamily="18" charset="0"/>
                  </a:rPr>
                  <a:t>Gender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3465120"/>
        <c:crosses val="autoZero"/>
        <c:auto val="1"/>
        <c:lblAlgn val="ctr"/>
        <c:lblOffset val="100"/>
        <c:noMultiLvlLbl val="0"/>
      </c:catAx>
      <c:valAx>
        <c:axId val="103465120"/>
        <c:scaling>
          <c:orientation val="minMax"/>
        </c:scaling>
        <c:delete val="1"/>
        <c:axPos val="b"/>
        <c:numFmt formatCode="0" sourceLinked="1"/>
        <c:majorTickMark val="none"/>
        <c:minorTickMark val="none"/>
        <c:tickLblPos val="nextTo"/>
        <c:crossAx val="103483008"/>
        <c:crosses val="autoZero"/>
        <c:crossBetween val="between"/>
      </c:valAx>
      <c:spPr>
        <a:noFill/>
        <a:ln>
          <a:noFill/>
        </a:ln>
        <a:effectLst/>
      </c:spPr>
    </c:plotArea>
    <c:legend>
      <c:legendPos val="t"/>
      <c:layout>
        <c:manualLayout>
          <c:xMode val="edge"/>
          <c:yMode val="edge"/>
          <c:x val="0.15502011469817439"/>
          <c:y val="0.1764906382151622"/>
          <c:w val="0.70426353511479489"/>
          <c:h val="7.614969465942733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How Well Do Customer Spend On Various Menbership Type ?</a:t>
            </a:r>
            <a:endParaRPr lang="en-US" sz="1100">
              <a:effectLst/>
              <a:latin typeface="Times New Roman" panose="02020603050405020304" pitchFamily="18" charset="0"/>
              <a:cs typeface="Times New Roman" panose="02020603050405020304" pitchFamily="18" charset="0"/>
            </a:endParaRPr>
          </a:p>
        </c:rich>
      </c:tx>
      <c:layout>
        <c:manualLayout>
          <c:xMode val="edge"/>
          <c:yMode val="edge"/>
          <c:x val="0.17749347598760049"/>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3">
              <a:lumMod val="50000"/>
            </a:schemeClr>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3">
              <a:lumMod val="5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solidFill>
            <a:schemeClr val="accent1"/>
          </a:solidFill>
          <a:ln>
            <a:noFill/>
          </a:ln>
          <a:effectLst/>
        </c:spPr>
        <c:marker>
          <c:symbol val="none"/>
        </c:marker>
      </c:pivotFmt>
      <c:pivotFmt>
        <c:idx val="9"/>
        <c:spPr>
          <a:solidFill>
            <a:schemeClr val="accent3">
              <a:lumMod val="60000"/>
              <a:lumOff val="4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solidFill>
            <a:schemeClr val="accent3">
              <a:lumMod val="5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spPr>
          <a:solidFill>
            <a:schemeClr val="accent3">
              <a:lumMod val="60000"/>
              <a:lumOff val="4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spPr>
          <a:solidFill>
            <a:schemeClr val="accent3">
              <a:lumMod val="5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3"/>
        <c:spPr>
          <a:solidFill>
            <a:schemeClr val="accent3">
              <a:lumMod val="60000"/>
              <a:lumOff val="4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marker>
          <c:symbol val="none"/>
        </c:marker>
      </c:pivotFmt>
      <c:pivotFmt>
        <c:idx val="17"/>
        <c:spPr>
          <a:solidFill>
            <a:schemeClr val="accent3">
              <a:lumMod val="60000"/>
              <a:lumOff val="40000"/>
            </a:schemeClr>
          </a:solidFill>
          <a:ln>
            <a:noFill/>
          </a:ln>
          <a:effectLst/>
        </c:spPr>
        <c:marker>
          <c:symbol val="none"/>
        </c:marker>
      </c:pivotFmt>
    </c:pivotFmts>
    <c:plotArea>
      <c:layout>
        <c:manualLayout>
          <c:layoutTarget val="inner"/>
          <c:xMode val="edge"/>
          <c:yMode val="edge"/>
          <c:x val="0.24695936144228758"/>
          <c:y val="0.27128261928770253"/>
          <c:w val="0.73662025005495002"/>
          <c:h val="0.60081103442853212"/>
        </c:manualLayout>
      </c:layout>
      <c:barChart>
        <c:barDir val="bar"/>
        <c:grouping val="stacked"/>
        <c:varyColors val="0"/>
        <c:ser>
          <c:idx val="0"/>
          <c:order val="0"/>
          <c:tx>
            <c:strRef>
              <c:f>Analysis!$B$2</c:f>
              <c:strCache>
                <c:ptCount val="1"/>
                <c:pt idx="0">
                  <c:v>Average of Total Spend</c:v>
                </c:pt>
              </c:strCache>
            </c:strRef>
          </c:tx>
          <c:spPr>
            <a:solidFill>
              <a:schemeClr val="accent3">
                <a:lumMod val="50000"/>
              </a:schemeClr>
            </a:solidFill>
            <a:ln>
              <a:noFill/>
            </a:ln>
            <a:effectLst/>
          </c:spPr>
          <c:invertIfNegative val="0"/>
          <c:dLbls>
            <c:delete val="1"/>
          </c:dLbls>
          <c:cat>
            <c:strRef>
              <c:f>Analysis!$A$3:$A$5</c:f>
              <c:strCache>
                <c:ptCount val="3"/>
                <c:pt idx="0">
                  <c:v>Bronze</c:v>
                </c:pt>
                <c:pt idx="1">
                  <c:v>Silver</c:v>
                </c:pt>
                <c:pt idx="2">
                  <c:v>Gold</c:v>
                </c:pt>
              </c:strCache>
            </c:strRef>
          </c:cat>
          <c:val>
            <c:numRef>
              <c:f>Analysis!$B$3:$B$5</c:f>
              <c:numCache>
                <c:formatCode>0</c:formatCode>
                <c:ptCount val="3"/>
                <c:pt idx="0">
                  <c:v>473.38879310344856</c:v>
                </c:pt>
                <c:pt idx="1">
                  <c:v>748.43247863247814</c:v>
                </c:pt>
                <c:pt idx="2">
                  <c:v>1311.1444444444455</c:v>
                </c:pt>
              </c:numCache>
            </c:numRef>
          </c:val>
          <c:extLst>
            <c:ext xmlns:c16="http://schemas.microsoft.com/office/drawing/2014/chart" uri="{C3380CC4-5D6E-409C-BE32-E72D297353CC}">
              <c16:uniqueId val="{00000000-FA1F-45DE-A688-274DCC15B827}"/>
            </c:ext>
          </c:extLst>
        </c:ser>
        <c:ser>
          <c:idx val="1"/>
          <c:order val="1"/>
          <c:tx>
            <c:strRef>
              <c:f>Analysis!$C$2</c:f>
              <c:strCache>
                <c:ptCount val="1"/>
                <c:pt idx="0">
                  <c:v>Sum of Items Purchased</c:v>
                </c:pt>
              </c:strCache>
            </c:strRef>
          </c:tx>
          <c:spPr>
            <a:solidFill>
              <a:schemeClr val="accent3">
                <a:lumMod val="60000"/>
                <a:lumOff val="40000"/>
              </a:schemeClr>
            </a:solidFill>
            <a:ln>
              <a:noFill/>
            </a:ln>
            <a:effectLst/>
          </c:spPr>
          <c:invertIfNegative val="0"/>
          <c:dLbls>
            <c:delete val="1"/>
          </c:dLbls>
          <c:cat>
            <c:strRef>
              <c:f>Analysis!$A$3:$A$5</c:f>
              <c:strCache>
                <c:ptCount val="3"/>
                <c:pt idx="0">
                  <c:v>Bronze</c:v>
                </c:pt>
                <c:pt idx="1">
                  <c:v>Silver</c:v>
                </c:pt>
                <c:pt idx="2">
                  <c:v>Gold</c:v>
                </c:pt>
              </c:strCache>
            </c:strRef>
          </c:cat>
          <c:val>
            <c:numRef>
              <c:f>Analysis!$C$3:$C$5</c:f>
              <c:numCache>
                <c:formatCode>0</c:formatCode>
                <c:ptCount val="3"/>
                <c:pt idx="0">
                  <c:v>985</c:v>
                </c:pt>
                <c:pt idx="1">
                  <c:v>1364</c:v>
                </c:pt>
                <c:pt idx="2">
                  <c:v>2061</c:v>
                </c:pt>
              </c:numCache>
            </c:numRef>
          </c:val>
          <c:extLst>
            <c:ext xmlns:c16="http://schemas.microsoft.com/office/drawing/2014/chart" uri="{C3380CC4-5D6E-409C-BE32-E72D297353CC}">
              <c16:uniqueId val="{00000001-FA1F-45DE-A688-274DCC15B827}"/>
            </c:ext>
          </c:extLst>
        </c:ser>
        <c:dLbls>
          <c:showLegendKey val="0"/>
          <c:showVal val="1"/>
          <c:showCatName val="0"/>
          <c:showSerName val="0"/>
          <c:showPercent val="0"/>
          <c:showBubbleSize val="0"/>
        </c:dLbls>
        <c:gapWidth val="10"/>
        <c:overlap val="100"/>
        <c:axId val="857207888"/>
        <c:axId val="845278048"/>
      </c:barChart>
      <c:catAx>
        <c:axId val="857207888"/>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Membership Type</a:t>
                </a:r>
                <a:endParaRPr lang="en-US" sz="800">
                  <a:effectLst/>
                  <a:latin typeface="Times New Roman" panose="02020603050405020304" pitchFamily="18" charset="0"/>
                  <a:cs typeface="Times New Roman" panose="02020603050405020304" pitchFamily="18" charset="0"/>
                </a:endParaRPr>
              </a:p>
            </c:rich>
          </c:tx>
          <c:layout>
            <c:manualLayout>
              <c:xMode val="edge"/>
              <c:yMode val="edge"/>
              <c:x val="6.5681444991789817E-3"/>
              <c:y val="0.1898630531200538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45278048"/>
        <c:crosses val="autoZero"/>
        <c:auto val="1"/>
        <c:lblAlgn val="ctr"/>
        <c:lblOffset val="100"/>
        <c:noMultiLvlLbl val="0"/>
      </c:catAx>
      <c:valAx>
        <c:axId val="845278048"/>
        <c:scaling>
          <c:orientation val="minMax"/>
        </c:scaling>
        <c:delete val="1"/>
        <c:axPos val="b"/>
        <c:numFmt formatCode="0" sourceLinked="1"/>
        <c:majorTickMark val="none"/>
        <c:minorTickMark val="none"/>
        <c:tickLblPos val="nextTo"/>
        <c:crossAx val="857207888"/>
        <c:crosses val="autoZero"/>
        <c:crossBetween val="between"/>
      </c:valAx>
      <c:spPr>
        <a:noFill/>
        <a:ln>
          <a:noFill/>
        </a:ln>
        <a:effectLst/>
      </c:spPr>
    </c:plotArea>
    <c:legend>
      <c:legendPos val="b"/>
      <c:layout>
        <c:manualLayout>
          <c:xMode val="edge"/>
          <c:yMode val="edge"/>
          <c:x val="8.1777777777777783E-2"/>
          <c:y val="0.91400238387116373"/>
          <c:w val="0.91822222222222227"/>
          <c:h val="3.493380915449415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Do Customer Mostly Purchased Due To Satisfaction Level ?</a:t>
            </a:r>
            <a:endParaRPr lang="en-US" sz="1100">
              <a:effectLst/>
              <a:latin typeface="Times New Roman" panose="02020603050405020304" pitchFamily="18" charset="0"/>
              <a:cs typeface="Times New Roman" panose="02020603050405020304" pitchFamily="18" charset="0"/>
            </a:endParaRPr>
          </a:p>
        </c:rich>
      </c:tx>
      <c:layout>
        <c:manualLayout>
          <c:xMode val="edge"/>
          <c:yMode val="edge"/>
          <c:x val="0.101746781787623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3">
              <a:lumMod val="50000"/>
            </a:schemeClr>
          </a:solidFill>
          <a:ln>
            <a:noFill/>
          </a:ln>
          <a:effectLst/>
        </c:spPr>
        <c:marker>
          <c:symbol val="none"/>
        </c:marker>
      </c:pivotFmt>
      <c:pivotFmt>
        <c:idx val="4"/>
        <c:spPr>
          <a:solidFill>
            <a:schemeClr val="accent3">
              <a:lumMod val="60000"/>
              <a:lumOff val="40000"/>
            </a:schemeClr>
          </a:solidFill>
          <a:ln>
            <a:noFill/>
          </a:ln>
          <a:effectLst/>
        </c:spPr>
        <c:marker>
          <c:symbol val="none"/>
        </c:marker>
      </c:pivotFmt>
      <c:pivotFmt>
        <c:idx val="5"/>
      </c:pivotFmt>
      <c:pivotFmt>
        <c:idx val="6"/>
        <c:spPr>
          <a:solidFill>
            <a:schemeClr val="accent3">
              <a:lumMod val="50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3">
              <a:lumMod val="60000"/>
              <a:lumOff val="4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solidFill>
            <a:schemeClr val="accent3">
              <a:lumMod val="50000"/>
            </a:schemeClr>
          </a:solidFill>
          <a:ln>
            <a:noFill/>
          </a:ln>
          <a:effectLst/>
        </c:spPr>
        <c:marker>
          <c:symbol val="none"/>
        </c:marker>
        <c:dLbl>
          <c:idx val="0"/>
          <c:spPr>
            <a:solidFill>
              <a:schemeClr val="accent3">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3">
              <a:lumMod val="60000"/>
              <a:lumOff val="4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spPr>
          <a:solidFill>
            <a:schemeClr val="accent3">
              <a:lumMod val="50000"/>
            </a:schemeClr>
          </a:solidFill>
          <a:ln>
            <a:noFill/>
          </a:ln>
          <a:effectLst/>
        </c:spPr>
        <c:marker>
          <c:symbol val="none"/>
        </c:marker>
      </c:pivotFmt>
      <c:pivotFmt>
        <c:idx val="13"/>
        <c:spPr>
          <a:solidFill>
            <a:schemeClr val="accent3">
              <a:lumMod val="60000"/>
              <a:lumOff val="40000"/>
            </a:schemeClr>
          </a:solidFill>
          <a:ln>
            <a:noFill/>
          </a:ln>
          <a:effectLst/>
        </c:spPr>
        <c:marker>
          <c:symbol val="none"/>
        </c:marker>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marker>
          <c:symbol val="none"/>
        </c:marker>
      </c:pivotFmt>
      <c:pivotFmt>
        <c:idx val="17"/>
        <c:spPr>
          <a:solidFill>
            <a:schemeClr val="accent3">
              <a:lumMod val="60000"/>
              <a:lumOff val="40000"/>
            </a:schemeClr>
          </a:solidFill>
          <a:ln>
            <a:noFill/>
          </a:ln>
          <a:effectLst/>
        </c:spPr>
        <c:marker>
          <c:symbol val="none"/>
        </c:marker>
      </c:pivotFmt>
    </c:pivotFmts>
    <c:plotArea>
      <c:layout>
        <c:manualLayout>
          <c:layoutTarget val="inner"/>
          <c:xMode val="edge"/>
          <c:yMode val="edge"/>
          <c:x val="0.2921224484245169"/>
          <c:y val="0.24983119089718506"/>
          <c:w val="0.70442342948337489"/>
          <c:h val="0.63647784125349005"/>
        </c:manualLayout>
      </c:layout>
      <c:barChart>
        <c:barDir val="bar"/>
        <c:grouping val="stacked"/>
        <c:varyColors val="0"/>
        <c:ser>
          <c:idx val="0"/>
          <c:order val="0"/>
          <c:tx>
            <c:strRef>
              <c:f>Analysis!$B$22</c:f>
              <c:strCache>
                <c:ptCount val="1"/>
                <c:pt idx="0">
                  <c:v>Average of Items Purchased</c:v>
                </c:pt>
              </c:strCache>
            </c:strRef>
          </c:tx>
          <c:spPr>
            <a:solidFill>
              <a:schemeClr val="accent3">
                <a:lumMod val="50000"/>
              </a:schemeClr>
            </a:solidFill>
            <a:ln>
              <a:noFill/>
            </a:ln>
            <a:effectLst/>
          </c:spPr>
          <c:invertIfNegative val="0"/>
          <c:dLbls>
            <c:delete val="1"/>
          </c:dLbls>
          <c:cat>
            <c:strRef>
              <c:f>Analysis!$A$23:$A$25</c:f>
              <c:strCache>
                <c:ptCount val="3"/>
                <c:pt idx="0">
                  <c:v>Neutral</c:v>
                </c:pt>
                <c:pt idx="1">
                  <c:v>Unsatisfied</c:v>
                </c:pt>
                <c:pt idx="2">
                  <c:v>Satisfied</c:v>
                </c:pt>
              </c:strCache>
            </c:strRef>
          </c:cat>
          <c:val>
            <c:numRef>
              <c:f>Analysis!$B$23:$B$25</c:f>
              <c:numCache>
                <c:formatCode>0</c:formatCode>
                <c:ptCount val="3"/>
                <c:pt idx="0">
                  <c:v>9.3944954128440372</c:v>
                </c:pt>
                <c:pt idx="1">
                  <c:v>10.525862068965518</c:v>
                </c:pt>
                <c:pt idx="2">
                  <c:v>17.32</c:v>
                </c:pt>
              </c:numCache>
            </c:numRef>
          </c:val>
          <c:extLst>
            <c:ext xmlns:c16="http://schemas.microsoft.com/office/drawing/2014/chart" uri="{C3380CC4-5D6E-409C-BE32-E72D297353CC}">
              <c16:uniqueId val="{00000000-9E09-4857-A45B-ED858BB5D223}"/>
            </c:ext>
          </c:extLst>
        </c:ser>
        <c:ser>
          <c:idx val="1"/>
          <c:order val="1"/>
          <c:tx>
            <c:strRef>
              <c:f>Analysis!$C$22</c:f>
              <c:strCache>
                <c:ptCount val="1"/>
                <c:pt idx="0">
                  <c:v>Total Customers</c:v>
                </c:pt>
              </c:strCache>
            </c:strRef>
          </c:tx>
          <c:spPr>
            <a:solidFill>
              <a:schemeClr val="accent3">
                <a:lumMod val="60000"/>
                <a:lumOff val="40000"/>
              </a:schemeClr>
            </a:solidFill>
            <a:ln>
              <a:noFill/>
            </a:ln>
            <a:effectLst/>
          </c:spPr>
          <c:invertIfNegative val="0"/>
          <c:dLbls>
            <c:delete val="1"/>
          </c:dLbls>
          <c:cat>
            <c:strRef>
              <c:f>Analysis!$A$23:$A$25</c:f>
              <c:strCache>
                <c:ptCount val="3"/>
                <c:pt idx="0">
                  <c:v>Neutral</c:v>
                </c:pt>
                <c:pt idx="1">
                  <c:v>Unsatisfied</c:v>
                </c:pt>
                <c:pt idx="2">
                  <c:v>Satisfied</c:v>
                </c:pt>
              </c:strCache>
            </c:strRef>
          </c:cat>
          <c:val>
            <c:numRef>
              <c:f>Analysis!$C$23:$C$25</c:f>
              <c:numCache>
                <c:formatCode>General</c:formatCode>
                <c:ptCount val="3"/>
                <c:pt idx="0">
                  <c:v>109</c:v>
                </c:pt>
                <c:pt idx="1">
                  <c:v>116</c:v>
                </c:pt>
                <c:pt idx="2">
                  <c:v>125</c:v>
                </c:pt>
              </c:numCache>
            </c:numRef>
          </c:val>
          <c:extLst>
            <c:ext xmlns:c16="http://schemas.microsoft.com/office/drawing/2014/chart" uri="{C3380CC4-5D6E-409C-BE32-E72D297353CC}">
              <c16:uniqueId val="{00000001-9E09-4857-A45B-ED858BB5D223}"/>
            </c:ext>
          </c:extLst>
        </c:ser>
        <c:dLbls>
          <c:showLegendKey val="0"/>
          <c:showVal val="1"/>
          <c:showCatName val="0"/>
          <c:showSerName val="0"/>
          <c:showPercent val="0"/>
          <c:showBubbleSize val="0"/>
        </c:dLbls>
        <c:gapWidth val="10"/>
        <c:overlap val="100"/>
        <c:axId val="2098960656"/>
        <c:axId val="2098963152"/>
      </c:barChart>
      <c:catAx>
        <c:axId val="2098960656"/>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Satisfaction Level</a:t>
                </a:r>
                <a:r>
                  <a:rPr lang="en-US" sz="1400">
                    <a:latin typeface="Times New Roman" panose="02020603050405020304" pitchFamily="18" charset="0"/>
                    <a:cs typeface="Times New Roman" panose="02020603050405020304" pitchFamily="18" charset="0"/>
                  </a:rPr>
                  <a:t> </a:t>
                </a:r>
              </a:p>
            </c:rich>
          </c:tx>
          <c:layout>
            <c:manualLayout>
              <c:xMode val="edge"/>
              <c:yMode val="edge"/>
              <c:x val="1.586937311228054E-3"/>
              <c:y val="0.2218489353897628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98963152"/>
        <c:crosses val="autoZero"/>
        <c:auto val="1"/>
        <c:lblAlgn val="ctr"/>
        <c:lblOffset val="100"/>
        <c:noMultiLvlLbl val="0"/>
      </c:catAx>
      <c:valAx>
        <c:axId val="2098963152"/>
        <c:scaling>
          <c:orientation val="minMax"/>
        </c:scaling>
        <c:delete val="1"/>
        <c:axPos val="b"/>
        <c:numFmt formatCode="0" sourceLinked="1"/>
        <c:majorTickMark val="none"/>
        <c:minorTickMark val="none"/>
        <c:tickLblPos val="nextTo"/>
        <c:crossAx val="2098960656"/>
        <c:crosses val="autoZero"/>
        <c:crossBetween val="between"/>
      </c:valAx>
      <c:spPr>
        <a:noFill/>
        <a:ln>
          <a:noFill/>
        </a:ln>
        <a:effectLst/>
      </c:spPr>
    </c:plotArea>
    <c:legend>
      <c:legendPos val="b"/>
      <c:layout>
        <c:manualLayout>
          <c:xMode val="edge"/>
          <c:yMode val="edge"/>
          <c:x val="8.3550913838120106E-2"/>
          <c:y val="0.92020274461714291"/>
          <c:w val="0.91644908616187992"/>
          <c:h val="4.326755750551061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Does Discount Cause</a:t>
            </a:r>
            <a:r>
              <a:rPr lang="en-US" sz="1400" b="1" baseline="0">
                <a:latin typeface="Times New Roman" panose="02020603050405020304" pitchFamily="18" charset="0"/>
                <a:cs typeface="Times New Roman" panose="02020603050405020304" pitchFamily="18" charset="0"/>
              </a:rPr>
              <a:t> More Spending?</a:t>
            </a:r>
          </a:p>
        </c:rich>
      </c:tx>
      <c:layout>
        <c:manualLayout>
          <c:xMode val="edge"/>
          <c:yMode val="edge"/>
          <c:x val="0.21797508898417983"/>
          <c:y val="5.398376764645964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3">
              <a:lumMod val="50000"/>
            </a:schemeClr>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noFill/>
          </a:ln>
          <a:effectLst/>
        </c:spPr>
        <c:marker>
          <c:symbol val="none"/>
        </c:marker>
      </c:pivotFmt>
    </c:pivotFmts>
    <c:plotArea>
      <c:layout>
        <c:manualLayout>
          <c:layoutTarget val="inner"/>
          <c:xMode val="edge"/>
          <c:yMode val="edge"/>
          <c:x val="0.24559861360028967"/>
          <c:y val="0.2272463883650423"/>
          <c:w val="0.75184344705242034"/>
          <c:h val="0.76214652812204942"/>
        </c:manualLayout>
      </c:layout>
      <c:barChart>
        <c:barDir val="bar"/>
        <c:grouping val="clustered"/>
        <c:varyColors val="0"/>
        <c:ser>
          <c:idx val="0"/>
          <c:order val="0"/>
          <c:tx>
            <c:strRef>
              <c:f>Analysis!$B$56</c:f>
              <c:strCache>
                <c:ptCount val="1"/>
                <c:pt idx="0">
                  <c:v>Total</c:v>
                </c:pt>
              </c:strCache>
            </c:strRef>
          </c:tx>
          <c:spPr>
            <a:solidFill>
              <a:schemeClr val="accent3">
                <a:lumMod val="50000"/>
              </a:schemeClr>
            </a:solidFill>
            <a:ln>
              <a:noFill/>
            </a:ln>
            <a:effectLst/>
          </c:spPr>
          <c:invertIfNegative val="0"/>
          <c:cat>
            <c:strRef>
              <c:f>Analysis!$A$57:$A$58</c:f>
              <c:strCache>
                <c:ptCount val="2"/>
                <c:pt idx="0">
                  <c:v>TRUE</c:v>
                </c:pt>
                <c:pt idx="1">
                  <c:v>FALSE</c:v>
                </c:pt>
              </c:strCache>
            </c:strRef>
          </c:cat>
          <c:val>
            <c:numRef>
              <c:f>Analysis!$B$57:$B$58</c:f>
              <c:numCache>
                <c:formatCode>0</c:formatCode>
                <c:ptCount val="2"/>
                <c:pt idx="0">
                  <c:v>787.27371428571473</c:v>
                </c:pt>
                <c:pt idx="1">
                  <c:v>903.48971428571406</c:v>
                </c:pt>
              </c:numCache>
            </c:numRef>
          </c:val>
          <c:extLst>
            <c:ext xmlns:c16="http://schemas.microsoft.com/office/drawing/2014/chart" uri="{C3380CC4-5D6E-409C-BE32-E72D297353CC}">
              <c16:uniqueId val="{00000000-54A2-416E-ACB2-664C53F9F945}"/>
            </c:ext>
          </c:extLst>
        </c:ser>
        <c:dLbls>
          <c:showLegendKey val="0"/>
          <c:showVal val="0"/>
          <c:showCatName val="0"/>
          <c:showSerName val="0"/>
          <c:showPercent val="0"/>
          <c:showBubbleSize val="0"/>
        </c:dLbls>
        <c:gapWidth val="10"/>
        <c:axId val="1429481711"/>
        <c:axId val="1429482959"/>
      </c:barChart>
      <c:catAx>
        <c:axId val="1429481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Discount</a:t>
                </a:r>
                <a:r>
                  <a:rPr lang="en-US" sz="1400" b="1" baseline="0">
                    <a:latin typeface="Times New Roman" panose="02020603050405020304" pitchFamily="18" charset="0"/>
                    <a:cs typeface="Times New Roman" panose="02020603050405020304" pitchFamily="18" charset="0"/>
                  </a:rPr>
                  <a:t> Applied</a:t>
                </a:r>
              </a:p>
            </c:rich>
          </c:tx>
          <c:layout>
            <c:manualLayout>
              <c:xMode val="edge"/>
              <c:yMode val="edge"/>
              <c:x val="0"/>
              <c:y val="0.246229425700840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29482959"/>
        <c:crosses val="autoZero"/>
        <c:auto val="1"/>
        <c:lblAlgn val="ctr"/>
        <c:lblOffset val="100"/>
        <c:noMultiLvlLbl val="0"/>
      </c:catAx>
      <c:valAx>
        <c:axId val="1429482959"/>
        <c:scaling>
          <c:orientation val="minMax"/>
        </c:scaling>
        <c:delete val="1"/>
        <c:axPos val="b"/>
        <c:numFmt formatCode="0" sourceLinked="1"/>
        <c:majorTickMark val="none"/>
        <c:minorTickMark val="none"/>
        <c:tickLblPos val="nextTo"/>
        <c:crossAx val="1429481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Which Customer</a:t>
            </a:r>
            <a:r>
              <a:rPr lang="en-US" sz="1400" b="1" baseline="0">
                <a:latin typeface="Times New Roman" panose="02020603050405020304" pitchFamily="18" charset="0"/>
                <a:cs typeface="Times New Roman" panose="02020603050405020304" pitchFamily="18" charset="0"/>
              </a:rPr>
              <a:t> Age Group Spend More ?</a:t>
            </a:r>
            <a:endParaRPr lang="en-US" sz="1400"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pivotFmt>
      <c:pivotFmt>
        <c:idx val="1"/>
        <c:spPr>
          <a:solidFill>
            <a:schemeClr val="accent3">
              <a:lumMod val="60000"/>
              <a:lumOff val="40000"/>
            </a:schemeClr>
          </a:solidFill>
          <a:ln>
            <a:noFill/>
          </a:ln>
          <a:effectLst/>
        </c:spPr>
        <c:marker>
          <c:symbol val="none"/>
        </c:marker>
      </c:pivotFmt>
      <c:pivotFmt>
        <c:idx val="2"/>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dLbl>
          <c:idx val="0"/>
          <c:layout>
            <c:manualLayout>
              <c:x val="1.0860941505991424E-3"/>
              <c:y val="2.3148148148148112E-3"/>
            </c:manualLayout>
          </c:layout>
          <c:showLegendKey val="0"/>
          <c:showVal val="1"/>
          <c:showCatName val="0"/>
          <c:showSerName val="0"/>
          <c:showPercent val="0"/>
          <c:showBubbleSize val="0"/>
          <c:extLst>
            <c:ext xmlns:c15="http://schemas.microsoft.com/office/drawing/2012/chart" uri="{CE6537A1-D6FC-4f65-9D91-7224C49458BB}">
              <c15:layout>
                <c:manualLayout>
                  <c:w val="1.9306253066938537E-2"/>
                  <c:h val="4.8564085739282586E-2"/>
                </c:manualLayout>
              </c15:layout>
            </c:ext>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3">
              <a:lumMod val="50000"/>
            </a:schemeClr>
          </a:solidFill>
          <a:ln>
            <a:noFill/>
          </a:ln>
          <a:effectLst/>
        </c:spPr>
        <c:marker>
          <c:symbol val="none"/>
        </c:marker>
      </c:pivotFmt>
      <c:pivotFmt>
        <c:idx val="9"/>
        <c:spPr>
          <a:solidFill>
            <a:schemeClr val="accent3">
              <a:lumMod val="60000"/>
              <a:lumOff val="40000"/>
            </a:schemeClr>
          </a:solidFill>
          <a:ln>
            <a:noFill/>
          </a:ln>
          <a:effectLst/>
        </c:spPr>
        <c:marker>
          <c:symbol val="none"/>
        </c:marker>
      </c:pivotFmt>
      <c:pivotFmt>
        <c:idx val="10"/>
        <c:spPr>
          <a:solidFill>
            <a:schemeClr val="accent3">
              <a:lumMod val="50000"/>
            </a:schemeClr>
          </a:solidFill>
          <a:ln>
            <a:noFill/>
          </a:ln>
          <a:effectLst/>
        </c:spPr>
        <c:marker>
          <c:symbol val="none"/>
        </c:marker>
      </c:pivotFmt>
      <c:pivotFmt>
        <c:idx val="11"/>
        <c:spPr>
          <a:solidFill>
            <a:schemeClr val="accent3">
              <a:lumMod val="50000"/>
            </a:schemeClr>
          </a:solidFill>
          <a:ln>
            <a:noFill/>
          </a:ln>
          <a:effectLst/>
        </c:spPr>
        <c:marker>
          <c:symbol val="none"/>
        </c:marker>
      </c:pivotFmt>
    </c:pivotFmts>
    <c:plotArea>
      <c:layout>
        <c:manualLayout>
          <c:layoutTarget val="inner"/>
          <c:xMode val="edge"/>
          <c:yMode val="edge"/>
          <c:x val="0.25120130223713655"/>
          <c:y val="0.35580792212237827"/>
          <c:w val="0.74879869776286345"/>
          <c:h val="0.64419207787762167"/>
        </c:manualLayout>
      </c:layout>
      <c:barChart>
        <c:barDir val="bar"/>
        <c:grouping val="stacked"/>
        <c:varyColors val="0"/>
        <c:ser>
          <c:idx val="0"/>
          <c:order val="0"/>
          <c:tx>
            <c:strRef>
              <c:f>Analysis!$B$84</c:f>
              <c:strCache>
                <c:ptCount val="1"/>
                <c:pt idx="0">
                  <c:v>Total</c:v>
                </c:pt>
              </c:strCache>
            </c:strRef>
          </c:tx>
          <c:spPr>
            <a:solidFill>
              <a:schemeClr val="accent3">
                <a:lumMod val="50000"/>
              </a:schemeClr>
            </a:solidFill>
            <a:ln>
              <a:noFill/>
            </a:ln>
            <a:effectLst/>
          </c:spPr>
          <c:invertIfNegative val="0"/>
          <c:dLbls>
            <c:delete val="1"/>
          </c:dLbls>
          <c:cat>
            <c:strRef>
              <c:f>Analysis!$A$85:$A$88</c:f>
              <c:strCache>
                <c:ptCount val="4"/>
                <c:pt idx="0">
                  <c:v>36-40</c:v>
                </c:pt>
                <c:pt idx="1">
                  <c:v>41-43</c:v>
                </c:pt>
                <c:pt idx="2">
                  <c:v>31-35</c:v>
                </c:pt>
                <c:pt idx="3">
                  <c:v>26-30</c:v>
                </c:pt>
              </c:strCache>
            </c:strRef>
          </c:cat>
          <c:val>
            <c:numRef>
              <c:f>Analysis!$B$85:$B$88</c:f>
              <c:numCache>
                <c:formatCode>0</c:formatCode>
                <c:ptCount val="4"/>
                <c:pt idx="0">
                  <c:v>463.62241379310325</c:v>
                </c:pt>
                <c:pt idx="1">
                  <c:v>499.88275862068969</c:v>
                </c:pt>
                <c:pt idx="2">
                  <c:v>875.11623931623933</c:v>
                </c:pt>
                <c:pt idx="3">
                  <c:v>1176.1683760683761</c:v>
                </c:pt>
              </c:numCache>
            </c:numRef>
          </c:val>
          <c:extLst>
            <c:ext xmlns:c16="http://schemas.microsoft.com/office/drawing/2014/chart" uri="{C3380CC4-5D6E-409C-BE32-E72D297353CC}">
              <c16:uniqueId val="{00000000-65F9-4300-9331-B8C7A5933531}"/>
            </c:ext>
          </c:extLst>
        </c:ser>
        <c:dLbls>
          <c:showLegendKey val="0"/>
          <c:showVal val="1"/>
          <c:showCatName val="0"/>
          <c:showSerName val="0"/>
          <c:showPercent val="0"/>
          <c:showBubbleSize val="0"/>
        </c:dLbls>
        <c:gapWidth val="10"/>
        <c:overlap val="100"/>
        <c:axId val="1072191616"/>
        <c:axId val="1072178720"/>
      </c:barChart>
      <c:catAx>
        <c:axId val="1072191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Age</a:t>
                </a:r>
                <a:r>
                  <a:rPr lang="en-US" sz="1600" b="1" baseline="0">
                    <a:latin typeface="Times New Roman" panose="02020603050405020304" pitchFamily="18" charset="0"/>
                    <a:cs typeface="Times New Roman" panose="02020603050405020304" pitchFamily="18" charset="0"/>
                  </a:rPr>
                  <a:t> Group</a:t>
                </a:r>
                <a:endParaRPr lang="en-US" sz="1600" b="1">
                  <a:latin typeface="Times New Roman" panose="02020603050405020304" pitchFamily="18" charset="0"/>
                  <a:cs typeface="Times New Roman" panose="02020603050405020304" pitchFamily="18" charset="0"/>
                </a:endParaRPr>
              </a:p>
            </c:rich>
          </c:tx>
          <c:layout>
            <c:manualLayout>
              <c:xMode val="edge"/>
              <c:yMode val="edge"/>
              <c:x val="1.5187005938137701E-2"/>
              <c:y val="0.369199148618129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2178720"/>
        <c:crosses val="autoZero"/>
        <c:auto val="1"/>
        <c:lblAlgn val="ctr"/>
        <c:lblOffset val="100"/>
        <c:noMultiLvlLbl val="0"/>
      </c:catAx>
      <c:valAx>
        <c:axId val="1072178720"/>
        <c:scaling>
          <c:orientation val="minMax"/>
        </c:scaling>
        <c:delete val="1"/>
        <c:axPos val="b"/>
        <c:numFmt formatCode="0" sourceLinked="1"/>
        <c:majorTickMark val="none"/>
        <c:minorTickMark val="none"/>
        <c:tickLblPos val="nextTo"/>
        <c:crossAx val="107219161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How Does Churn Risk Affect Total</a:t>
            </a:r>
            <a:r>
              <a:rPr lang="en-US" sz="1400" baseline="0">
                <a:latin typeface="Times New Roman" panose="02020603050405020304" pitchFamily="18" charset="0"/>
                <a:cs typeface="Times New Roman" panose="02020603050405020304" pitchFamily="18" charset="0"/>
              </a:rPr>
              <a:t> Spend ?</a:t>
            </a:r>
            <a:endParaRPr lang="en-US" sz="1400">
              <a:latin typeface="Times New Roman" panose="02020603050405020304" pitchFamily="18" charset="0"/>
              <a:cs typeface="Times New Roman" panose="02020603050405020304" pitchFamily="18" charset="0"/>
            </a:endParaRPr>
          </a:p>
        </c:rich>
      </c:tx>
      <c:layout>
        <c:manualLayout>
          <c:xMode val="edge"/>
          <c:yMode val="edge"/>
          <c:x val="0.1515024417277526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3">
              <a:lumMod val="50000"/>
            </a:schemeClr>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noFill/>
          </a:ln>
          <a:effectLst/>
        </c:spPr>
        <c:marker>
          <c:symbol val="none"/>
        </c:marker>
      </c:pivotFmt>
      <c:pivotFmt>
        <c:idx val="4"/>
        <c:spPr>
          <a:solidFill>
            <a:schemeClr val="accent3">
              <a:lumMod val="50000"/>
            </a:schemeClr>
          </a:solidFill>
          <a:ln>
            <a:noFill/>
          </a:ln>
          <a:effectLst/>
        </c:spPr>
        <c:marker>
          <c:symbol val="none"/>
        </c:marker>
      </c:pivotFmt>
    </c:pivotFmts>
    <c:plotArea>
      <c:layout>
        <c:manualLayout>
          <c:layoutTarget val="inner"/>
          <c:xMode val="edge"/>
          <c:yMode val="edge"/>
          <c:x val="0.27168436342468649"/>
          <c:y val="0.2391351697927756"/>
          <c:w val="0.72831563657531351"/>
          <c:h val="0.74452904513159757"/>
        </c:manualLayout>
      </c:layout>
      <c:barChart>
        <c:barDir val="bar"/>
        <c:grouping val="clustered"/>
        <c:varyColors val="0"/>
        <c:ser>
          <c:idx val="0"/>
          <c:order val="0"/>
          <c:tx>
            <c:strRef>
              <c:f>Analysis!$B$72</c:f>
              <c:strCache>
                <c:ptCount val="1"/>
                <c:pt idx="0">
                  <c:v>Total</c:v>
                </c:pt>
              </c:strCache>
            </c:strRef>
          </c:tx>
          <c:spPr>
            <a:solidFill>
              <a:schemeClr val="accent3">
                <a:lumMod val="50000"/>
              </a:schemeClr>
            </a:solidFill>
            <a:ln>
              <a:noFill/>
            </a:ln>
            <a:effectLst/>
          </c:spPr>
          <c:invertIfNegative val="0"/>
          <c:cat>
            <c:strRef>
              <c:f>Analysis!$A$73:$A$74</c:f>
              <c:strCache>
                <c:ptCount val="2"/>
                <c:pt idx="0">
                  <c:v>At Risk</c:v>
                </c:pt>
                <c:pt idx="1">
                  <c:v>Low Risk</c:v>
                </c:pt>
              </c:strCache>
            </c:strRef>
          </c:cat>
          <c:val>
            <c:numRef>
              <c:f>Analysis!$B$73:$B$74</c:f>
              <c:numCache>
                <c:formatCode>0</c:formatCode>
                <c:ptCount val="2"/>
                <c:pt idx="0">
                  <c:v>595.13620689655215</c:v>
                </c:pt>
                <c:pt idx="1">
                  <c:v>969.43504273504266</c:v>
                </c:pt>
              </c:numCache>
            </c:numRef>
          </c:val>
          <c:extLst>
            <c:ext xmlns:c16="http://schemas.microsoft.com/office/drawing/2014/chart" uri="{C3380CC4-5D6E-409C-BE32-E72D297353CC}">
              <c16:uniqueId val="{00000000-F4D5-43C5-B448-6A2E0EF48D82}"/>
            </c:ext>
          </c:extLst>
        </c:ser>
        <c:dLbls>
          <c:showLegendKey val="0"/>
          <c:showVal val="0"/>
          <c:showCatName val="0"/>
          <c:showSerName val="0"/>
          <c:showPercent val="0"/>
          <c:showBubbleSize val="0"/>
        </c:dLbls>
        <c:gapWidth val="10"/>
        <c:axId val="265622527"/>
        <c:axId val="265639999"/>
      </c:barChart>
      <c:catAx>
        <c:axId val="265622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Churn</a:t>
                </a:r>
                <a:r>
                  <a:rPr lang="en-US" sz="1400" baseline="0">
                    <a:latin typeface="Times New Roman" panose="02020603050405020304" pitchFamily="18" charset="0"/>
                    <a:cs typeface="Times New Roman" panose="02020603050405020304" pitchFamily="18" charset="0"/>
                  </a:rPr>
                  <a:t> Risk</a:t>
                </a:r>
              </a:p>
            </c:rich>
          </c:tx>
          <c:layout>
            <c:manualLayout>
              <c:xMode val="edge"/>
              <c:yMode val="edge"/>
              <c:x val="1.1569916704161768E-3"/>
              <c:y val="0.363991692819405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65639999"/>
        <c:crosses val="autoZero"/>
        <c:auto val="1"/>
        <c:lblAlgn val="ctr"/>
        <c:lblOffset val="100"/>
        <c:noMultiLvlLbl val="0"/>
      </c:catAx>
      <c:valAx>
        <c:axId val="265639999"/>
        <c:scaling>
          <c:orientation val="minMax"/>
        </c:scaling>
        <c:delete val="1"/>
        <c:axPos val="b"/>
        <c:numFmt formatCode="0" sourceLinked="1"/>
        <c:majorTickMark val="none"/>
        <c:minorTickMark val="none"/>
        <c:tickLblPos val="nextTo"/>
        <c:crossAx val="265622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[Akande_Gafar_CustomerAnalytics.xlsx]Analysis!PivotTable3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From Which</a:t>
            </a:r>
            <a:r>
              <a:rPr lang="en-US" sz="1400" b="1" baseline="0">
                <a:latin typeface="Times New Roman" panose="02020603050405020304" pitchFamily="18" charset="0"/>
                <a:cs typeface="Times New Roman" panose="02020603050405020304" pitchFamily="18" charset="0"/>
              </a:rPr>
              <a:t> City Do Customer Spends More ?</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11816477919279389"/>
          <c:y val="4.53797305567887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pivotFmt>
      <c:pivotFmt>
        <c:idx val="1"/>
        <c:spPr>
          <a:solidFill>
            <a:schemeClr val="accent3">
              <a:lumMod val="50000"/>
            </a:schemeClr>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noFill/>
          </a:ln>
          <a:effectLst/>
        </c:spPr>
        <c:marker>
          <c:symbol val="none"/>
        </c:marker>
      </c:pivotFmt>
    </c:pivotFmts>
    <c:plotArea>
      <c:layout>
        <c:manualLayout>
          <c:layoutTarget val="inner"/>
          <c:xMode val="edge"/>
          <c:yMode val="edge"/>
          <c:x val="0.3085223886766349"/>
          <c:y val="0.22567375657755681"/>
          <c:w val="0.69147761132336505"/>
          <c:h val="0.77168885429337575"/>
        </c:manualLayout>
      </c:layout>
      <c:barChart>
        <c:barDir val="bar"/>
        <c:grouping val="clustered"/>
        <c:varyColors val="0"/>
        <c:ser>
          <c:idx val="0"/>
          <c:order val="0"/>
          <c:tx>
            <c:strRef>
              <c:f>Analysis!$B$36</c:f>
              <c:strCache>
                <c:ptCount val="1"/>
                <c:pt idx="0">
                  <c:v>Total</c:v>
                </c:pt>
              </c:strCache>
            </c:strRef>
          </c:tx>
          <c:spPr>
            <a:solidFill>
              <a:schemeClr val="accent3">
                <a:lumMod val="50000"/>
              </a:schemeClr>
            </a:solidFill>
            <a:ln>
              <a:noFill/>
            </a:ln>
            <a:effectLst/>
          </c:spPr>
          <c:invertIfNegative val="0"/>
          <c:cat>
            <c:strRef>
              <c:f>Analysis!$A$37:$A$42</c:f>
              <c:strCache>
                <c:ptCount val="6"/>
                <c:pt idx="0">
                  <c:v>Houston</c:v>
                </c:pt>
                <c:pt idx="1">
                  <c:v>Chicago</c:v>
                </c:pt>
                <c:pt idx="2">
                  <c:v>Miami</c:v>
                </c:pt>
                <c:pt idx="3">
                  <c:v>Los Angeles</c:v>
                </c:pt>
                <c:pt idx="4">
                  <c:v>New York</c:v>
                </c:pt>
                <c:pt idx="5">
                  <c:v>San Francisco</c:v>
                </c:pt>
              </c:strCache>
            </c:strRef>
          </c:cat>
          <c:val>
            <c:numRef>
              <c:f>Analysis!$B$37:$B$42</c:f>
              <c:numCache>
                <c:formatCode>0</c:formatCode>
                <c:ptCount val="6"/>
                <c:pt idx="0">
                  <c:v>446.89482758620665</c:v>
                </c:pt>
                <c:pt idx="1">
                  <c:v>499.88275862068969</c:v>
                </c:pt>
                <c:pt idx="2">
                  <c:v>690.38965517241411</c:v>
                </c:pt>
                <c:pt idx="3">
                  <c:v>805.49152542372883</c:v>
                </c:pt>
                <c:pt idx="4">
                  <c:v>1165.0355932203393</c:v>
                </c:pt>
                <c:pt idx="5">
                  <c:v>1459.7724137931039</c:v>
                </c:pt>
              </c:numCache>
            </c:numRef>
          </c:val>
          <c:extLst>
            <c:ext xmlns:c16="http://schemas.microsoft.com/office/drawing/2014/chart" uri="{C3380CC4-5D6E-409C-BE32-E72D297353CC}">
              <c16:uniqueId val="{00000000-76F1-4A08-8B4C-F5D3986BC8E6}"/>
            </c:ext>
          </c:extLst>
        </c:ser>
        <c:dLbls>
          <c:showLegendKey val="0"/>
          <c:showVal val="0"/>
          <c:showCatName val="0"/>
          <c:showSerName val="0"/>
          <c:showPercent val="0"/>
          <c:showBubbleSize val="0"/>
        </c:dLbls>
        <c:gapWidth val="10"/>
        <c:axId val="929780815"/>
        <c:axId val="929781647"/>
      </c:barChart>
      <c:catAx>
        <c:axId val="929780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City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29781647"/>
        <c:crosses val="autoZero"/>
        <c:auto val="1"/>
        <c:lblAlgn val="ctr"/>
        <c:lblOffset val="100"/>
        <c:noMultiLvlLbl val="0"/>
      </c:catAx>
      <c:valAx>
        <c:axId val="929781647"/>
        <c:scaling>
          <c:orientation val="minMax"/>
        </c:scaling>
        <c:delete val="1"/>
        <c:axPos val="b"/>
        <c:numFmt formatCode="0" sourceLinked="1"/>
        <c:majorTickMark val="none"/>
        <c:minorTickMark val="none"/>
        <c:tickLblPos val="nextTo"/>
        <c:crossAx val="929780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7.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5.emf"/><Relationship Id="rId5" Type="http://schemas.openxmlformats.org/officeDocument/2006/relationships/chart" Target="../charts/chart5.xml"/><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4</xdr:col>
      <xdr:colOff>0</xdr:colOff>
      <xdr:row>103</xdr:row>
      <xdr:rowOff>0</xdr:rowOff>
    </xdr:from>
    <xdr:to>
      <xdr:col>9</xdr:col>
      <xdr:colOff>698944</xdr:colOff>
      <xdr:row>119</xdr:row>
      <xdr:rowOff>165608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67236</xdr:colOff>
      <xdr:row>6</xdr:row>
      <xdr:rowOff>44822</xdr:rowOff>
    </xdr:from>
    <xdr:to>
      <xdr:col>23</xdr:col>
      <xdr:colOff>571500</xdr:colOff>
      <xdr:row>39</xdr:row>
      <xdr:rowOff>67235</xdr:rowOff>
    </xdr:to>
    <xdr:pic>
      <xdr:nvPicPr>
        <xdr:cNvPr id="15" name="Picture 1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2354" y="1187822"/>
          <a:ext cx="13816852" cy="6308913"/>
        </a:xfrm>
        <a:prstGeom prst="rect">
          <a:avLst/>
        </a:prstGeom>
      </xdr:spPr>
    </xdr:pic>
    <xdr:clientData/>
  </xdr:twoCellAnchor>
  <xdr:twoCellAnchor>
    <xdr:from>
      <xdr:col>5</xdr:col>
      <xdr:colOff>93008</xdr:colOff>
      <xdr:row>13</xdr:row>
      <xdr:rowOff>80682</xdr:rowOff>
    </xdr:from>
    <xdr:to>
      <xdr:col>11</xdr:col>
      <xdr:colOff>100854</xdr:colOff>
      <xdr:row>25</xdr:row>
      <xdr:rowOff>156882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238688</xdr:colOff>
      <xdr:row>13</xdr:row>
      <xdr:rowOff>82364</xdr:rowOff>
    </xdr:from>
    <xdr:to>
      <xdr:col>17</xdr:col>
      <xdr:colOff>268943</xdr:colOff>
      <xdr:row>25</xdr:row>
      <xdr:rowOff>156883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145677</xdr:colOff>
      <xdr:row>26</xdr:row>
      <xdr:rowOff>108615</xdr:rowOff>
    </xdr:from>
    <xdr:to>
      <xdr:col>11</xdr:col>
      <xdr:colOff>118222</xdr:colOff>
      <xdr:row>38</xdr:row>
      <xdr:rowOff>123265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235324</xdr:colOff>
      <xdr:row>26</xdr:row>
      <xdr:rowOff>112058</xdr:rowOff>
    </xdr:from>
    <xdr:to>
      <xdr:col>17</xdr:col>
      <xdr:colOff>268940</xdr:colOff>
      <xdr:row>38</xdr:row>
      <xdr:rowOff>156881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381000</xdr:colOff>
      <xdr:row>26</xdr:row>
      <xdr:rowOff>112059</xdr:rowOff>
    </xdr:from>
    <xdr:to>
      <xdr:col>23</xdr:col>
      <xdr:colOff>392204</xdr:colOff>
      <xdr:row>38</xdr:row>
      <xdr:rowOff>156882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392204</xdr:colOff>
      <xdr:row>13</xdr:row>
      <xdr:rowOff>78443</xdr:rowOff>
    </xdr:from>
    <xdr:to>
      <xdr:col>23</xdr:col>
      <xdr:colOff>414617</xdr:colOff>
      <xdr:row>25</xdr:row>
      <xdr:rowOff>148561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294713</xdr:colOff>
      <xdr:row>21</xdr:row>
      <xdr:rowOff>12325</xdr:rowOff>
    </xdr:from>
    <xdr:to>
      <xdr:col>4</xdr:col>
      <xdr:colOff>537881</xdr:colOff>
      <xdr:row>24</xdr:row>
      <xdr:rowOff>77881</xdr:rowOff>
    </xdr:to>
    <mc:AlternateContent xmlns:mc="http://schemas.openxmlformats.org/markup-compatibility/2006" xmlns:a14="http://schemas.microsoft.com/office/drawing/2010/main">
      <mc:Choice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99831" y="4012825"/>
              <a:ext cx="2058521" cy="637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299195</xdr:colOff>
      <xdr:row>29</xdr:row>
      <xdr:rowOff>180414</xdr:rowOff>
    </xdr:from>
    <xdr:to>
      <xdr:col>4</xdr:col>
      <xdr:colOff>537882</xdr:colOff>
      <xdr:row>33</xdr:row>
      <xdr:rowOff>66116</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4313" y="5704914"/>
              <a:ext cx="2054040" cy="647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294153</xdr:colOff>
      <xdr:row>25</xdr:row>
      <xdr:rowOff>100293</xdr:rowOff>
    </xdr:from>
    <xdr:to>
      <xdr:col>4</xdr:col>
      <xdr:colOff>526676</xdr:colOff>
      <xdr:row>28</xdr:row>
      <xdr:rowOff>147358</xdr:rowOff>
    </xdr:to>
    <mc:AlternateContent xmlns:mc="http://schemas.openxmlformats.org/markup-compatibility/2006" xmlns:a14="http://schemas.microsoft.com/office/drawing/2010/main">
      <mc:Choice Requires="a14">
        <xdr:graphicFrame macro="">
          <xdr:nvGraphicFramePr>
            <xdr:cNvPr id="11" name="Membership Type"/>
            <xdr:cNvGraphicFramePr/>
          </xdr:nvGraphicFramePr>
          <xdr:xfrm>
            <a:off x="0" y="0"/>
            <a:ext cx="0" cy="0"/>
          </xdr:xfrm>
          <a:graphic>
            <a:graphicData uri="http://schemas.microsoft.com/office/drawing/2010/slicer">
              <sle:slicer xmlns:sle="http://schemas.microsoft.com/office/drawing/2010/slicer" name="Membership Type"/>
            </a:graphicData>
          </a:graphic>
        </xdr:graphicFrame>
      </mc:Choice>
      <mc:Fallback xmlns="">
        <xdr:sp macro="" textlink="">
          <xdr:nvSpPr>
            <xdr:cNvPr id="0" name=""/>
            <xdr:cNvSpPr>
              <a:spLocks noTextEdit="1"/>
            </xdr:cNvSpPr>
          </xdr:nvSpPr>
          <xdr:spPr>
            <a:xfrm>
              <a:off x="899271" y="4862793"/>
              <a:ext cx="2047876" cy="618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288549</xdr:colOff>
      <xdr:row>34</xdr:row>
      <xdr:rowOff>78441</xdr:rowOff>
    </xdr:from>
    <xdr:to>
      <xdr:col>4</xdr:col>
      <xdr:colOff>537881</xdr:colOff>
      <xdr:row>37</xdr:row>
      <xdr:rowOff>154641</xdr:rowOff>
    </xdr:to>
    <mc:AlternateContent xmlns:mc="http://schemas.openxmlformats.org/markup-compatibility/2006" xmlns:a14="http://schemas.microsoft.com/office/drawing/2010/main">
      <mc:Choice Requires="a14">
        <xdr:graphicFrame macro="">
          <xdr:nvGraphicFramePr>
            <xdr:cNvPr id="12" name="Churn Rate"/>
            <xdr:cNvGraphicFramePr/>
          </xdr:nvGraphicFramePr>
          <xdr:xfrm>
            <a:off x="0" y="0"/>
            <a:ext cx="0" cy="0"/>
          </xdr:xfrm>
          <a:graphic>
            <a:graphicData uri="http://schemas.microsoft.com/office/drawing/2010/slicer">
              <sle:slicer xmlns:sle="http://schemas.microsoft.com/office/drawing/2010/slicer" name="Churn Rate"/>
            </a:graphicData>
          </a:graphic>
        </xdr:graphicFrame>
      </mc:Choice>
      <mc:Fallback xmlns="">
        <xdr:sp macro="" textlink="">
          <xdr:nvSpPr>
            <xdr:cNvPr id="0" name=""/>
            <xdr:cNvSpPr>
              <a:spLocks noTextEdit="1"/>
            </xdr:cNvSpPr>
          </xdr:nvSpPr>
          <xdr:spPr>
            <a:xfrm>
              <a:off x="893667" y="6555441"/>
              <a:ext cx="206468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272861</xdr:colOff>
      <xdr:row>12</xdr:row>
      <xdr:rowOff>55469</xdr:rowOff>
    </xdr:from>
    <xdr:to>
      <xdr:col>4</xdr:col>
      <xdr:colOff>515470</xdr:colOff>
      <xdr:row>15</xdr:row>
      <xdr:rowOff>105897</xdr:rowOff>
    </xdr:to>
    <mc:AlternateContent xmlns:mc="http://schemas.openxmlformats.org/markup-compatibility/2006" xmlns:a14="http://schemas.microsoft.com/office/drawing/2010/main">
      <mc:Choice Requires="a14">
        <xdr:graphicFrame macro="">
          <xdr:nvGraphicFramePr>
            <xdr:cNvPr id="13"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77979" y="2341469"/>
              <a:ext cx="2057962" cy="621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285747</xdr:colOff>
      <xdr:row>16</xdr:row>
      <xdr:rowOff>112617</xdr:rowOff>
    </xdr:from>
    <xdr:to>
      <xdr:col>4</xdr:col>
      <xdr:colOff>526676</xdr:colOff>
      <xdr:row>19</xdr:row>
      <xdr:rowOff>189378</xdr:rowOff>
    </xdr:to>
    <mc:AlternateContent xmlns:mc="http://schemas.openxmlformats.org/markup-compatibility/2006" xmlns:a14="http://schemas.microsoft.com/office/drawing/2010/main">
      <mc:Choice Requires="a14">
        <xdr:graphicFrame macro="">
          <xdr:nvGraphicFramePr>
            <xdr:cNvPr id="14" name="Weeks Since Last Purchase"/>
            <xdr:cNvGraphicFramePr/>
          </xdr:nvGraphicFramePr>
          <xdr:xfrm>
            <a:off x="0" y="0"/>
            <a:ext cx="0" cy="0"/>
          </xdr:xfrm>
          <a:graphic>
            <a:graphicData uri="http://schemas.microsoft.com/office/drawing/2010/slicer">
              <sle:slicer xmlns:sle="http://schemas.microsoft.com/office/drawing/2010/slicer" name="Weeks Since Last Purchase"/>
            </a:graphicData>
          </a:graphic>
        </xdr:graphicFrame>
      </mc:Choice>
      <mc:Fallback xmlns="">
        <xdr:sp macro="" textlink="">
          <xdr:nvSpPr>
            <xdr:cNvPr id="0" name=""/>
            <xdr:cNvSpPr>
              <a:spLocks noTextEdit="1"/>
            </xdr:cNvSpPr>
          </xdr:nvSpPr>
          <xdr:spPr>
            <a:xfrm>
              <a:off x="890865" y="3160617"/>
              <a:ext cx="2056282" cy="648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246528</xdr:colOff>
      <xdr:row>5</xdr:row>
      <xdr:rowOff>78441</xdr:rowOff>
    </xdr:from>
    <xdr:ext cx="12797119" cy="694765"/>
    <xdr:sp macro="" textlink="">
      <xdr:nvSpPr>
        <xdr:cNvPr id="17" name="TextBox 16"/>
        <xdr:cNvSpPr txBox="1"/>
      </xdr:nvSpPr>
      <xdr:spPr>
        <a:xfrm>
          <a:off x="2061881" y="1030941"/>
          <a:ext cx="12797119" cy="694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800" b="1">
              <a:latin typeface="Times New Roman" panose="02020603050405020304" pitchFamily="18" charset="0"/>
              <a:cs typeface="Times New Roman" panose="02020603050405020304" pitchFamily="18" charset="0"/>
            </a:rPr>
            <a:t>CUSTOMER</a:t>
          </a:r>
          <a:r>
            <a:rPr lang="en-US" sz="4800" b="1" baseline="0">
              <a:latin typeface="Times New Roman" panose="02020603050405020304" pitchFamily="18" charset="0"/>
              <a:cs typeface="Times New Roman" panose="02020603050405020304" pitchFamily="18" charset="0"/>
            </a:rPr>
            <a:t> INSIGHTS DASHBOARD</a:t>
          </a:r>
          <a:endParaRPr lang="en-US" sz="4800" b="1">
            <a:latin typeface="Times New Roman" panose="02020603050405020304" pitchFamily="18" charset="0"/>
            <a:cs typeface="Times New Roman" panose="02020603050405020304" pitchFamily="18" charset="0"/>
          </a:endParaRPr>
        </a:p>
      </xdr:txBody>
    </xdr:sp>
    <xdr:clientData/>
  </xdr:oneCellAnchor>
  <xdr:oneCellAnchor>
    <xdr:from>
      <xdr:col>1</xdr:col>
      <xdr:colOff>336176</xdr:colOff>
      <xdr:row>9</xdr:row>
      <xdr:rowOff>123264</xdr:rowOff>
    </xdr:from>
    <xdr:ext cx="2061882" cy="414618"/>
    <xdr:sp macro="" textlink="">
      <xdr:nvSpPr>
        <xdr:cNvPr id="18" name="TextBox 17"/>
        <xdr:cNvSpPr txBox="1"/>
      </xdr:nvSpPr>
      <xdr:spPr>
        <a:xfrm>
          <a:off x="941294" y="1837764"/>
          <a:ext cx="2061882" cy="4146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latin typeface="Times New Roman" panose="02020603050405020304" pitchFamily="18" charset="0"/>
              <a:cs typeface="Times New Roman" panose="02020603050405020304" pitchFamily="18" charset="0"/>
            </a:rPr>
            <a:t>DATA FILTERS</a:t>
          </a:r>
        </a:p>
      </xdr:txBody>
    </xdr:sp>
    <xdr:clientData/>
  </xdr:oneCellAnchor>
  <mc:AlternateContent xmlns:mc="http://schemas.openxmlformats.org/markup-compatibility/2006">
    <mc:Choice xmlns:a14="http://schemas.microsoft.com/office/drawing/2010/main" Requires="a14">
      <xdr:twoCellAnchor editAs="oneCell">
        <xdr:from>
          <xdr:col>5</xdr:col>
          <xdr:colOff>145114</xdr:colOff>
          <xdr:row>9</xdr:row>
          <xdr:rowOff>56028</xdr:rowOff>
        </xdr:from>
        <xdr:to>
          <xdr:col>8</xdr:col>
          <xdr:colOff>156882</xdr:colOff>
          <xdr:row>12</xdr:row>
          <xdr:rowOff>179293</xdr:rowOff>
        </xdr:to>
        <xdr:pic>
          <xdr:nvPicPr>
            <xdr:cNvPr id="19" name="Picture 18"/>
            <xdr:cNvPicPr>
              <a:picLocks noChangeAspect="1" noChangeArrowheads="1"/>
              <a:extLst>
                <a:ext uri="{84589F7E-364E-4C9E-8A38-B11213B215E9}">
                  <a14:cameraTool cellRange="'Summary Stats'!$A$1:$A$2" spid="_x0000_s2259"/>
                </a:ext>
              </a:extLst>
            </xdr:cNvPicPr>
          </xdr:nvPicPr>
          <xdr:blipFill>
            <a:blip xmlns:r="http://schemas.openxmlformats.org/officeDocument/2006/relationships" r:embed="rId8"/>
            <a:srcRect/>
            <a:stretch>
              <a:fillRect/>
            </a:stretch>
          </xdr:blipFill>
          <xdr:spPr bwMode="auto">
            <a:xfrm>
              <a:off x="3170702" y="1770528"/>
              <a:ext cx="1827121" cy="69476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302560</xdr:colOff>
          <xdr:row>9</xdr:row>
          <xdr:rowOff>56028</xdr:rowOff>
        </xdr:from>
        <xdr:to>
          <xdr:col>11</xdr:col>
          <xdr:colOff>280147</xdr:colOff>
          <xdr:row>12</xdr:row>
          <xdr:rowOff>190499</xdr:rowOff>
        </xdr:to>
        <xdr:pic>
          <xdr:nvPicPr>
            <xdr:cNvPr id="20" name="Picture 19"/>
            <xdr:cNvPicPr>
              <a:picLocks noChangeAspect="1" noChangeArrowheads="1"/>
              <a:extLst>
                <a:ext uri="{84589F7E-364E-4C9E-8A38-B11213B215E9}">
                  <a14:cameraTool cellRange="'Summary Stats'!$C$1:$C$2" spid="_x0000_s2260"/>
                </a:ext>
              </a:extLst>
            </xdr:cNvPicPr>
          </xdr:nvPicPr>
          <xdr:blipFill>
            <a:blip xmlns:r="http://schemas.openxmlformats.org/officeDocument/2006/relationships" r:embed="rId9"/>
            <a:srcRect/>
            <a:stretch>
              <a:fillRect/>
            </a:stretch>
          </xdr:blipFill>
          <xdr:spPr bwMode="auto">
            <a:xfrm>
              <a:off x="5143501" y="1770528"/>
              <a:ext cx="1792940" cy="70597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460001</xdr:colOff>
          <xdr:row>9</xdr:row>
          <xdr:rowOff>44824</xdr:rowOff>
        </xdr:from>
        <xdr:to>
          <xdr:col>14</xdr:col>
          <xdr:colOff>537882</xdr:colOff>
          <xdr:row>12</xdr:row>
          <xdr:rowOff>179294</xdr:rowOff>
        </xdr:to>
        <xdr:pic>
          <xdr:nvPicPr>
            <xdr:cNvPr id="21" name="Picture 20"/>
            <xdr:cNvPicPr>
              <a:picLocks noChangeAspect="1" noChangeArrowheads="1"/>
              <a:extLst>
                <a:ext uri="{84589F7E-364E-4C9E-8A38-B11213B215E9}">
                  <a14:cameraTool cellRange="'Summary Stats'!$E$1:$E$2" spid="_x0000_s2261"/>
                </a:ext>
              </a:extLst>
            </xdr:cNvPicPr>
          </xdr:nvPicPr>
          <xdr:blipFill>
            <a:blip xmlns:r="http://schemas.openxmlformats.org/officeDocument/2006/relationships" r:embed="rId10"/>
            <a:srcRect/>
            <a:stretch>
              <a:fillRect/>
            </a:stretch>
          </xdr:blipFill>
          <xdr:spPr bwMode="auto">
            <a:xfrm>
              <a:off x="7116295" y="1759324"/>
              <a:ext cx="1893234" cy="70597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112058</xdr:colOff>
          <xdr:row>9</xdr:row>
          <xdr:rowOff>44824</xdr:rowOff>
        </xdr:from>
        <xdr:to>
          <xdr:col>17</xdr:col>
          <xdr:colOff>526676</xdr:colOff>
          <xdr:row>12</xdr:row>
          <xdr:rowOff>179294</xdr:rowOff>
        </xdr:to>
        <xdr:pic>
          <xdr:nvPicPr>
            <xdr:cNvPr id="22" name="Picture 21"/>
            <xdr:cNvPicPr>
              <a:picLocks noChangeAspect="1" noChangeArrowheads="1"/>
              <a:extLst>
                <a:ext uri="{84589F7E-364E-4C9E-8A38-B11213B215E9}">
                  <a14:cameraTool cellRange="'Summary Stats'!$G$1:$G$2" spid="_x0000_s2262"/>
                </a:ext>
              </a:extLst>
            </xdr:cNvPicPr>
          </xdr:nvPicPr>
          <xdr:blipFill>
            <a:blip xmlns:r="http://schemas.openxmlformats.org/officeDocument/2006/relationships" r:embed="rId11"/>
            <a:srcRect/>
            <a:stretch>
              <a:fillRect/>
            </a:stretch>
          </xdr:blipFill>
          <xdr:spPr bwMode="auto">
            <a:xfrm>
              <a:off x="9188823" y="1759324"/>
              <a:ext cx="1624853" cy="70597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112058</xdr:colOff>
          <xdr:row>9</xdr:row>
          <xdr:rowOff>56029</xdr:rowOff>
        </xdr:from>
        <xdr:to>
          <xdr:col>20</xdr:col>
          <xdr:colOff>435909</xdr:colOff>
          <xdr:row>12</xdr:row>
          <xdr:rowOff>179294</xdr:rowOff>
        </xdr:to>
        <xdr:pic>
          <xdr:nvPicPr>
            <xdr:cNvPr id="23" name="Picture 22"/>
            <xdr:cNvPicPr>
              <a:picLocks noChangeAspect="1" noChangeArrowheads="1"/>
              <a:extLst>
                <a:ext uri="{84589F7E-364E-4C9E-8A38-B11213B215E9}">
                  <a14:cameraTool cellRange="'Summary Stats'!$I$1:$I$2" spid="_x0000_s2263"/>
                </a:ext>
              </a:extLst>
            </xdr:cNvPicPr>
          </xdr:nvPicPr>
          <xdr:blipFill>
            <a:blip xmlns:r="http://schemas.openxmlformats.org/officeDocument/2006/relationships" r:embed="rId12"/>
            <a:srcRect/>
            <a:stretch>
              <a:fillRect/>
            </a:stretch>
          </xdr:blipFill>
          <xdr:spPr bwMode="auto">
            <a:xfrm>
              <a:off x="11004176" y="1770529"/>
              <a:ext cx="1534086" cy="69476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9</xdr:row>
          <xdr:rowOff>56028</xdr:rowOff>
        </xdr:from>
        <xdr:to>
          <xdr:col>23</xdr:col>
          <xdr:colOff>399490</xdr:colOff>
          <xdr:row>12</xdr:row>
          <xdr:rowOff>190499</xdr:rowOff>
        </xdr:to>
        <xdr:pic>
          <xdr:nvPicPr>
            <xdr:cNvPr id="24" name="Picture 23"/>
            <xdr:cNvPicPr>
              <a:picLocks noChangeAspect="1" noChangeArrowheads="1"/>
              <a:extLst>
                <a:ext uri="{84589F7E-364E-4C9E-8A38-B11213B215E9}">
                  <a14:cameraTool cellRange="'Summary Stats'!$K$1:$K$2" spid="_x0000_s2264"/>
                </a:ext>
              </a:extLst>
            </xdr:cNvPicPr>
          </xdr:nvPicPr>
          <xdr:blipFill>
            <a:blip xmlns:r="http://schemas.openxmlformats.org/officeDocument/2006/relationships" r:embed="rId13"/>
            <a:srcRect/>
            <a:stretch>
              <a:fillRect/>
            </a:stretch>
          </xdr:blipFill>
          <xdr:spPr bwMode="auto">
            <a:xfrm>
              <a:off x="12707471" y="1770528"/>
              <a:ext cx="1609725" cy="70597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nso" refreshedDate="46162.370057523149" createdVersion="6" refreshedVersion="6" minRefreshableVersion="3" recordCount="350">
  <cacheSource type="worksheet">
    <worksheetSource name="Customer_Table"/>
  </cacheSource>
  <cacheFields count="15">
    <cacheField name="Customer ID" numFmtId="49">
      <sharedItems containsSemiMixedTypes="0" containsString="0" containsNumber="1" containsInteger="1" minValue="101" maxValue="450"/>
    </cacheField>
    <cacheField name="Gender" numFmtId="0">
      <sharedItems count="2">
        <s v="Female"/>
        <s v="Male"/>
      </sharedItems>
    </cacheField>
    <cacheField name="Age" numFmtId="0">
      <sharedItems containsSemiMixedTypes="0" containsString="0" containsNumber="1" containsInteger="1" minValue="26" maxValue="43" count="16">
        <n v="29"/>
        <n v="34"/>
        <n v="43"/>
        <n v="30"/>
        <n v="27"/>
        <n v="37"/>
        <n v="31"/>
        <n v="35"/>
        <n v="41"/>
        <n v="28"/>
        <n v="32"/>
        <n v="36"/>
        <n v="33"/>
        <n v="42"/>
        <n v="26"/>
        <n v="38"/>
      </sharedItems>
    </cacheField>
    <cacheField name="City" numFmtId="0">
      <sharedItems count="6">
        <s v="New York"/>
        <s v="Los Angeles"/>
        <s v="Chicago"/>
        <s v="San Francisco"/>
        <s v="Miami"/>
        <s v="Houston"/>
      </sharedItems>
    </cacheField>
    <cacheField name="Membership Type" numFmtId="0">
      <sharedItems count="3">
        <s v="Gold"/>
        <s v="Silver"/>
        <s v="Bronze"/>
      </sharedItems>
    </cacheField>
    <cacheField name="Total Spend" numFmtId="164">
      <sharedItems containsSemiMixedTypes="0" containsString="0" containsNumber="1" minValue="410.8" maxValue="1520.1" count="76">
        <n v="1120.2"/>
        <n v="780.5"/>
        <n v="510.75"/>
        <n v="1480.3"/>
        <n v="720.4"/>
        <n v="440.8"/>
        <n v="1150.5999999999999"/>
        <n v="800.9"/>
        <n v="495.25"/>
        <n v="1520.1"/>
        <n v="690.3"/>
        <n v="470.5"/>
        <n v="1200.8"/>
        <n v="820.75"/>
        <n v="530.4"/>
        <n v="1360.2"/>
        <n v="700.6"/>
        <n v="450.9"/>
        <n v="1170.3"/>
        <n v="790.2"/>
        <n v="505.75"/>
        <n v="1470.5"/>
        <n v="710.4"/>
        <n v="430.8"/>
        <n v="1140.5999999999999"/>
        <n v="810.9"/>
        <n v="485.25"/>
        <n v="1500.1"/>
        <n v="670.3"/>
        <n v="460.5"/>
        <n v="1190.8"/>
        <n v="830.75"/>
        <n v="520.4"/>
        <n v="1370.2"/>
        <n v="690.6"/>
        <n v="440.9"/>
        <n v="1160.3"/>
        <n v="800.2"/>
        <n v="500.75"/>
        <n v="1460.5"/>
        <n v="700.4"/>
        <n v="420.8"/>
        <n v="1130.5999999999999"/>
        <n v="820.9"/>
        <n v="480.25"/>
        <n v="1490.1"/>
        <n v="680.3"/>
        <n v="1180.8"/>
        <n v="1420.8"/>
        <n v="730.4"/>
        <n v="450.6"/>
        <n v="1210.5999999999999"/>
        <n v="780.9"/>
        <n v="1390.2"/>
        <n v="670.6"/>
        <n v="460.9"/>
        <n v="810.2"/>
        <n v="515.75"/>
        <n v="1450.5"/>
        <n v="690.4"/>
        <n v="525.75"/>
        <n v="830.9"/>
        <n v="490.25"/>
        <n v="1480.1"/>
        <n v="480.5"/>
        <n v="1170.8"/>
        <n v="1440.5"/>
        <n v="410.8"/>
        <n v="1160.5999999999999"/>
        <n v="660.3"/>
        <n v="430.5"/>
        <n v="780.2"/>
        <n v="450.8"/>
        <n v="475.25"/>
        <n v="770.2"/>
        <n v="440.5"/>
      </sharedItems>
    </cacheField>
    <cacheField name="Items Purchased" numFmtId="0">
      <sharedItems containsSemiMixedTypes="0" containsString="0" containsNumber="1" containsInteger="1" minValue="7" maxValue="21"/>
    </cacheField>
    <cacheField name="Average Rating" numFmtId="0">
      <sharedItems containsSemiMixedTypes="0" containsString="0" containsNumber="1" minValue="3" maxValue="4.9000000000000004"/>
    </cacheField>
    <cacheField name="Discount Applied" numFmtId="0">
      <sharedItems count="2">
        <b v="1"/>
        <b v="0"/>
      </sharedItems>
    </cacheField>
    <cacheField name="Days Since Last Purchase" numFmtId="0">
      <sharedItems containsSemiMixedTypes="0" containsString="0" containsNumber="1" containsInteger="1" minValue="9" maxValue="63"/>
    </cacheField>
    <cacheField name="Satisfaction Level" numFmtId="0">
      <sharedItems count="3">
        <s v="Satisfied"/>
        <s v="Neutral"/>
        <s v="Unsatisfied"/>
      </sharedItems>
    </cacheField>
    <cacheField name="Churn Rate" numFmtId="0">
      <sharedItems count="2">
        <s v="Low Risk"/>
        <s v="At Risk"/>
      </sharedItems>
    </cacheField>
    <cacheField name="Age Group" numFmtId="0">
      <sharedItems count="4">
        <s v="26-30"/>
        <s v="31-35"/>
        <s v="41-43"/>
        <s v="36-40"/>
      </sharedItems>
    </cacheField>
    <cacheField name="Spend Level" numFmtId="0">
      <sharedItems count="3">
        <s v="High"/>
        <s v="Medium"/>
        <s v="Low"/>
      </sharedItems>
    </cacheField>
    <cacheField name="Weeks Since Last Purchase" numFmtId="0">
      <sharedItems count="8">
        <s v="4 week"/>
        <s v="3 week"/>
        <s v="6 weeks"/>
        <s v="2 weeks"/>
        <s v="8 week"/>
        <s v="5 week"/>
        <s v="7 week"/>
        <s v="9 week"/>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0">
  <r>
    <n v="101"/>
    <x v="0"/>
    <x v="0"/>
    <x v="0"/>
    <x v="0"/>
    <x v="0"/>
    <n v="14"/>
    <n v="4.5999999999999996"/>
    <x v="0"/>
    <n v="25"/>
    <x v="0"/>
    <x v="0"/>
    <x v="0"/>
    <x v="0"/>
    <x v="0"/>
  </r>
  <r>
    <n v="102"/>
    <x v="1"/>
    <x v="1"/>
    <x v="1"/>
    <x v="1"/>
    <x v="1"/>
    <n v="11"/>
    <n v="4.0999999999999996"/>
    <x v="1"/>
    <n v="18"/>
    <x v="1"/>
    <x v="0"/>
    <x v="1"/>
    <x v="1"/>
    <x v="1"/>
  </r>
  <r>
    <n v="103"/>
    <x v="0"/>
    <x v="2"/>
    <x v="2"/>
    <x v="2"/>
    <x v="2"/>
    <n v="9"/>
    <n v="3.4"/>
    <x v="0"/>
    <n v="42"/>
    <x v="2"/>
    <x v="1"/>
    <x v="2"/>
    <x v="2"/>
    <x v="2"/>
  </r>
  <r>
    <n v="104"/>
    <x v="1"/>
    <x v="3"/>
    <x v="3"/>
    <x v="0"/>
    <x v="3"/>
    <n v="19"/>
    <n v="4.7"/>
    <x v="1"/>
    <n v="12"/>
    <x v="0"/>
    <x v="0"/>
    <x v="0"/>
    <x v="0"/>
    <x v="3"/>
  </r>
  <r>
    <n v="105"/>
    <x v="1"/>
    <x v="4"/>
    <x v="4"/>
    <x v="1"/>
    <x v="4"/>
    <n v="13"/>
    <n v="4"/>
    <x v="0"/>
    <n v="55"/>
    <x v="2"/>
    <x v="1"/>
    <x v="0"/>
    <x v="1"/>
    <x v="4"/>
  </r>
  <r>
    <n v="106"/>
    <x v="0"/>
    <x v="5"/>
    <x v="5"/>
    <x v="2"/>
    <x v="5"/>
    <n v="8"/>
    <n v="3.1"/>
    <x v="1"/>
    <n v="22"/>
    <x v="1"/>
    <x v="0"/>
    <x v="3"/>
    <x v="2"/>
    <x v="0"/>
  </r>
  <r>
    <n v="107"/>
    <x v="0"/>
    <x v="6"/>
    <x v="0"/>
    <x v="0"/>
    <x v="6"/>
    <n v="15"/>
    <n v="4.5"/>
    <x v="0"/>
    <n v="28"/>
    <x v="0"/>
    <x v="0"/>
    <x v="1"/>
    <x v="0"/>
    <x v="0"/>
  </r>
  <r>
    <n v="108"/>
    <x v="1"/>
    <x v="7"/>
    <x v="1"/>
    <x v="1"/>
    <x v="7"/>
    <n v="12"/>
    <n v="4.2"/>
    <x v="1"/>
    <n v="14"/>
    <x v="1"/>
    <x v="0"/>
    <x v="1"/>
    <x v="1"/>
    <x v="3"/>
  </r>
  <r>
    <n v="109"/>
    <x v="0"/>
    <x v="8"/>
    <x v="2"/>
    <x v="2"/>
    <x v="8"/>
    <n v="10"/>
    <n v="3.6"/>
    <x v="0"/>
    <n v="40"/>
    <x v="2"/>
    <x v="1"/>
    <x v="2"/>
    <x v="2"/>
    <x v="2"/>
  </r>
  <r>
    <n v="110"/>
    <x v="1"/>
    <x v="9"/>
    <x v="3"/>
    <x v="0"/>
    <x v="9"/>
    <n v="21"/>
    <n v="4.8"/>
    <x v="1"/>
    <n v="9"/>
    <x v="0"/>
    <x v="0"/>
    <x v="0"/>
    <x v="0"/>
    <x v="3"/>
  </r>
  <r>
    <n v="111"/>
    <x v="1"/>
    <x v="10"/>
    <x v="4"/>
    <x v="1"/>
    <x v="10"/>
    <n v="11"/>
    <n v="3.8"/>
    <x v="0"/>
    <n v="34"/>
    <x v="2"/>
    <x v="1"/>
    <x v="1"/>
    <x v="1"/>
    <x v="5"/>
  </r>
  <r>
    <n v="112"/>
    <x v="0"/>
    <x v="11"/>
    <x v="5"/>
    <x v="2"/>
    <x v="11"/>
    <n v="7"/>
    <n v="3.2"/>
    <x v="1"/>
    <n v="20"/>
    <x v="1"/>
    <x v="0"/>
    <x v="3"/>
    <x v="2"/>
    <x v="1"/>
  </r>
  <r>
    <n v="113"/>
    <x v="0"/>
    <x v="3"/>
    <x v="0"/>
    <x v="0"/>
    <x v="12"/>
    <n v="16"/>
    <n v="4.3"/>
    <x v="0"/>
    <n v="21"/>
    <x v="0"/>
    <x v="0"/>
    <x v="0"/>
    <x v="0"/>
    <x v="1"/>
  </r>
  <r>
    <n v="114"/>
    <x v="1"/>
    <x v="12"/>
    <x v="1"/>
    <x v="1"/>
    <x v="13"/>
    <n v="13"/>
    <n v="4.4000000000000004"/>
    <x v="1"/>
    <n v="15"/>
    <x v="0"/>
    <x v="0"/>
    <x v="1"/>
    <x v="1"/>
    <x v="1"/>
  </r>
  <r>
    <n v="115"/>
    <x v="0"/>
    <x v="13"/>
    <x v="2"/>
    <x v="2"/>
    <x v="14"/>
    <n v="9"/>
    <n v="3.5"/>
    <x v="0"/>
    <n v="38"/>
    <x v="2"/>
    <x v="1"/>
    <x v="2"/>
    <x v="2"/>
    <x v="2"/>
  </r>
  <r>
    <n v="116"/>
    <x v="1"/>
    <x v="0"/>
    <x v="3"/>
    <x v="0"/>
    <x v="15"/>
    <n v="18"/>
    <n v="4.9000000000000004"/>
    <x v="1"/>
    <n v="11"/>
    <x v="0"/>
    <x v="0"/>
    <x v="0"/>
    <x v="0"/>
    <x v="3"/>
  </r>
  <r>
    <n v="117"/>
    <x v="1"/>
    <x v="14"/>
    <x v="4"/>
    <x v="1"/>
    <x v="16"/>
    <n v="12"/>
    <n v="3.7"/>
    <x v="0"/>
    <n v="48"/>
    <x v="2"/>
    <x v="1"/>
    <x v="0"/>
    <x v="1"/>
    <x v="6"/>
  </r>
  <r>
    <n v="118"/>
    <x v="0"/>
    <x v="15"/>
    <x v="5"/>
    <x v="2"/>
    <x v="17"/>
    <n v="8"/>
    <n v="3"/>
    <x v="1"/>
    <n v="25"/>
    <x v="1"/>
    <x v="0"/>
    <x v="3"/>
    <x v="2"/>
    <x v="0"/>
  </r>
  <r>
    <n v="119"/>
    <x v="0"/>
    <x v="10"/>
    <x v="0"/>
    <x v="0"/>
    <x v="18"/>
    <n v="14"/>
    <n v="4.7"/>
    <x v="0"/>
    <n v="29"/>
    <x v="0"/>
    <x v="0"/>
    <x v="1"/>
    <x v="0"/>
    <x v="5"/>
  </r>
  <r>
    <n v="120"/>
    <x v="1"/>
    <x v="1"/>
    <x v="1"/>
    <x v="1"/>
    <x v="19"/>
    <n v="11"/>
    <n v="4"/>
    <x v="1"/>
    <n v="16"/>
    <x v="1"/>
    <x v="0"/>
    <x v="1"/>
    <x v="1"/>
    <x v="1"/>
  </r>
  <r>
    <n v="121"/>
    <x v="0"/>
    <x v="2"/>
    <x v="2"/>
    <x v="2"/>
    <x v="20"/>
    <n v="10"/>
    <n v="3.3"/>
    <x v="0"/>
    <n v="41"/>
    <x v="2"/>
    <x v="1"/>
    <x v="2"/>
    <x v="2"/>
    <x v="2"/>
  </r>
  <r>
    <n v="122"/>
    <x v="1"/>
    <x v="3"/>
    <x v="3"/>
    <x v="0"/>
    <x v="21"/>
    <n v="20"/>
    <n v="4.8"/>
    <x v="1"/>
    <n v="13"/>
    <x v="0"/>
    <x v="0"/>
    <x v="0"/>
    <x v="0"/>
    <x v="3"/>
  </r>
  <r>
    <n v="123"/>
    <x v="1"/>
    <x v="4"/>
    <x v="4"/>
    <x v="1"/>
    <x v="22"/>
    <n v="13"/>
    <n v="4.0999999999999996"/>
    <x v="0"/>
    <n v="54"/>
    <x v="2"/>
    <x v="1"/>
    <x v="0"/>
    <x v="1"/>
    <x v="4"/>
  </r>
  <r>
    <n v="124"/>
    <x v="0"/>
    <x v="5"/>
    <x v="5"/>
    <x v="2"/>
    <x v="23"/>
    <n v="7"/>
    <n v="3.4"/>
    <x v="1"/>
    <n v="23"/>
    <x v="1"/>
    <x v="0"/>
    <x v="3"/>
    <x v="2"/>
    <x v="0"/>
  </r>
  <r>
    <n v="125"/>
    <x v="0"/>
    <x v="6"/>
    <x v="0"/>
    <x v="0"/>
    <x v="24"/>
    <n v="15"/>
    <n v="4.5999999999999996"/>
    <x v="0"/>
    <n v="27"/>
    <x v="0"/>
    <x v="0"/>
    <x v="1"/>
    <x v="0"/>
    <x v="0"/>
  </r>
  <r>
    <n v="126"/>
    <x v="1"/>
    <x v="7"/>
    <x v="1"/>
    <x v="1"/>
    <x v="25"/>
    <n v="12"/>
    <n v="4.3"/>
    <x v="1"/>
    <n v="13"/>
    <x v="1"/>
    <x v="0"/>
    <x v="1"/>
    <x v="1"/>
    <x v="3"/>
  </r>
  <r>
    <n v="127"/>
    <x v="0"/>
    <x v="8"/>
    <x v="2"/>
    <x v="2"/>
    <x v="26"/>
    <n v="9"/>
    <n v="3.6"/>
    <x v="0"/>
    <n v="39"/>
    <x v="2"/>
    <x v="1"/>
    <x v="2"/>
    <x v="2"/>
    <x v="2"/>
  </r>
  <r>
    <n v="128"/>
    <x v="1"/>
    <x v="9"/>
    <x v="3"/>
    <x v="0"/>
    <x v="27"/>
    <n v="21"/>
    <n v="4.9000000000000004"/>
    <x v="1"/>
    <n v="10"/>
    <x v="0"/>
    <x v="0"/>
    <x v="0"/>
    <x v="0"/>
    <x v="3"/>
  </r>
  <r>
    <n v="129"/>
    <x v="1"/>
    <x v="10"/>
    <x v="4"/>
    <x v="1"/>
    <x v="28"/>
    <n v="10"/>
    <n v="3.8"/>
    <x v="0"/>
    <n v="33"/>
    <x v="2"/>
    <x v="1"/>
    <x v="1"/>
    <x v="1"/>
    <x v="5"/>
  </r>
  <r>
    <n v="130"/>
    <x v="0"/>
    <x v="11"/>
    <x v="5"/>
    <x v="2"/>
    <x v="29"/>
    <n v="8"/>
    <n v="3.1"/>
    <x v="1"/>
    <n v="19"/>
    <x v="1"/>
    <x v="0"/>
    <x v="3"/>
    <x v="2"/>
    <x v="1"/>
  </r>
  <r>
    <n v="131"/>
    <x v="0"/>
    <x v="3"/>
    <x v="0"/>
    <x v="0"/>
    <x v="30"/>
    <n v="16"/>
    <n v="4.5"/>
    <x v="0"/>
    <n v="20"/>
    <x v="0"/>
    <x v="0"/>
    <x v="0"/>
    <x v="0"/>
    <x v="1"/>
  </r>
  <r>
    <n v="132"/>
    <x v="1"/>
    <x v="12"/>
    <x v="1"/>
    <x v="1"/>
    <x v="31"/>
    <n v="13"/>
    <n v="4.2"/>
    <x v="1"/>
    <n v="14"/>
    <x v="0"/>
    <x v="0"/>
    <x v="1"/>
    <x v="1"/>
    <x v="3"/>
  </r>
  <r>
    <n v="133"/>
    <x v="0"/>
    <x v="13"/>
    <x v="2"/>
    <x v="2"/>
    <x v="32"/>
    <n v="9"/>
    <n v="3.5"/>
    <x v="0"/>
    <n v="37"/>
    <x v="2"/>
    <x v="1"/>
    <x v="2"/>
    <x v="2"/>
    <x v="2"/>
  </r>
  <r>
    <n v="134"/>
    <x v="1"/>
    <x v="0"/>
    <x v="3"/>
    <x v="0"/>
    <x v="33"/>
    <n v="18"/>
    <n v="4.7"/>
    <x v="1"/>
    <n v="10"/>
    <x v="0"/>
    <x v="0"/>
    <x v="0"/>
    <x v="0"/>
    <x v="3"/>
  </r>
  <r>
    <n v="135"/>
    <x v="1"/>
    <x v="14"/>
    <x v="4"/>
    <x v="1"/>
    <x v="34"/>
    <n v="12"/>
    <n v="3.9"/>
    <x v="0"/>
    <n v="47"/>
    <x v="2"/>
    <x v="1"/>
    <x v="0"/>
    <x v="1"/>
    <x v="6"/>
  </r>
  <r>
    <n v="136"/>
    <x v="0"/>
    <x v="15"/>
    <x v="5"/>
    <x v="2"/>
    <x v="35"/>
    <n v="8"/>
    <n v="3.2"/>
    <x v="1"/>
    <n v="24"/>
    <x v="1"/>
    <x v="0"/>
    <x v="3"/>
    <x v="2"/>
    <x v="0"/>
  </r>
  <r>
    <n v="137"/>
    <x v="0"/>
    <x v="10"/>
    <x v="0"/>
    <x v="0"/>
    <x v="36"/>
    <n v="14"/>
    <n v="4.4000000000000004"/>
    <x v="0"/>
    <n v="22"/>
    <x v="0"/>
    <x v="0"/>
    <x v="1"/>
    <x v="0"/>
    <x v="0"/>
  </r>
  <r>
    <n v="138"/>
    <x v="1"/>
    <x v="1"/>
    <x v="1"/>
    <x v="1"/>
    <x v="37"/>
    <n v="11"/>
    <n v="4.0999999999999996"/>
    <x v="1"/>
    <n v="17"/>
    <x v="1"/>
    <x v="0"/>
    <x v="1"/>
    <x v="1"/>
    <x v="1"/>
  </r>
  <r>
    <n v="139"/>
    <x v="0"/>
    <x v="2"/>
    <x v="2"/>
    <x v="2"/>
    <x v="38"/>
    <n v="10"/>
    <n v="3.3"/>
    <x v="0"/>
    <n v="40"/>
    <x v="2"/>
    <x v="1"/>
    <x v="2"/>
    <x v="2"/>
    <x v="2"/>
  </r>
  <r>
    <n v="140"/>
    <x v="1"/>
    <x v="3"/>
    <x v="3"/>
    <x v="0"/>
    <x v="39"/>
    <n v="20"/>
    <n v="4.8"/>
    <x v="1"/>
    <n v="12"/>
    <x v="0"/>
    <x v="0"/>
    <x v="0"/>
    <x v="0"/>
    <x v="3"/>
  </r>
  <r>
    <n v="141"/>
    <x v="1"/>
    <x v="4"/>
    <x v="4"/>
    <x v="1"/>
    <x v="40"/>
    <n v="13"/>
    <n v="4"/>
    <x v="0"/>
    <n v="53"/>
    <x v="2"/>
    <x v="1"/>
    <x v="0"/>
    <x v="1"/>
    <x v="4"/>
  </r>
  <r>
    <n v="142"/>
    <x v="0"/>
    <x v="5"/>
    <x v="5"/>
    <x v="2"/>
    <x v="41"/>
    <n v="7"/>
    <n v="3.1"/>
    <x v="1"/>
    <n v="21"/>
    <x v="1"/>
    <x v="0"/>
    <x v="3"/>
    <x v="2"/>
    <x v="1"/>
  </r>
  <r>
    <n v="143"/>
    <x v="0"/>
    <x v="6"/>
    <x v="0"/>
    <x v="0"/>
    <x v="42"/>
    <n v="15"/>
    <n v="4.5"/>
    <x v="0"/>
    <n v="26"/>
    <x v="0"/>
    <x v="0"/>
    <x v="1"/>
    <x v="0"/>
    <x v="0"/>
  </r>
  <r>
    <n v="144"/>
    <x v="1"/>
    <x v="7"/>
    <x v="1"/>
    <x v="1"/>
    <x v="43"/>
    <n v="12"/>
    <n v="4.3"/>
    <x v="1"/>
    <n v="12"/>
    <x v="1"/>
    <x v="0"/>
    <x v="1"/>
    <x v="1"/>
    <x v="3"/>
  </r>
  <r>
    <n v="145"/>
    <x v="0"/>
    <x v="8"/>
    <x v="2"/>
    <x v="2"/>
    <x v="44"/>
    <n v="9"/>
    <n v="3.6"/>
    <x v="0"/>
    <n v="38"/>
    <x v="2"/>
    <x v="1"/>
    <x v="2"/>
    <x v="2"/>
    <x v="2"/>
  </r>
  <r>
    <n v="146"/>
    <x v="1"/>
    <x v="9"/>
    <x v="3"/>
    <x v="0"/>
    <x v="45"/>
    <n v="21"/>
    <n v="4.9000000000000004"/>
    <x v="1"/>
    <n v="9"/>
    <x v="0"/>
    <x v="0"/>
    <x v="0"/>
    <x v="0"/>
    <x v="3"/>
  </r>
  <r>
    <n v="147"/>
    <x v="1"/>
    <x v="10"/>
    <x v="4"/>
    <x v="1"/>
    <x v="46"/>
    <n v="10"/>
    <n v="3.8"/>
    <x v="0"/>
    <n v="32"/>
    <x v="2"/>
    <x v="1"/>
    <x v="1"/>
    <x v="1"/>
    <x v="5"/>
  </r>
  <r>
    <n v="148"/>
    <x v="0"/>
    <x v="11"/>
    <x v="5"/>
    <x v="2"/>
    <x v="11"/>
    <n v="8"/>
    <n v="3"/>
    <x v="1"/>
    <n v="18"/>
    <x v="1"/>
    <x v="0"/>
    <x v="3"/>
    <x v="2"/>
    <x v="1"/>
  </r>
  <r>
    <n v="149"/>
    <x v="0"/>
    <x v="3"/>
    <x v="0"/>
    <x v="0"/>
    <x v="47"/>
    <n v="16"/>
    <n v="4.7"/>
    <x v="0"/>
    <n v="19"/>
    <x v="0"/>
    <x v="0"/>
    <x v="0"/>
    <x v="0"/>
    <x v="1"/>
  </r>
  <r>
    <n v="150"/>
    <x v="1"/>
    <x v="1"/>
    <x v="1"/>
    <x v="1"/>
    <x v="19"/>
    <n v="11"/>
    <n v="4"/>
    <x v="1"/>
    <n v="15"/>
    <x v="1"/>
    <x v="0"/>
    <x v="1"/>
    <x v="1"/>
    <x v="1"/>
  </r>
  <r>
    <n v="151"/>
    <x v="0"/>
    <x v="2"/>
    <x v="2"/>
    <x v="2"/>
    <x v="20"/>
    <n v="10"/>
    <n v="3.3"/>
    <x v="0"/>
    <n v="39"/>
    <x v="2"/>
    <x v="1"/>
    <x v="2"/>
    <x v="2"/>
    <x v="2"/>
  </r>
  <r>
    <n v="152"/>
    <x v="1"/>
    <x v="3"/>
    <x v="3"/>
    <x v="0"/>
    <x v="21"/>
    <n v="20"/>
    <n v="4.8"/>
    <x v="1"/>
    <n v="13"/>
    <x v="0"/>
    <x v="0"/>
    <x v="0"/>
    <x v="0"/>
    <x v="3"/>
  </r>
  <r>
    <n v="153"/>
    <x v="1"/>
    <x v="4"/>
    <x v="4"/>
    <x v="1"/>
    <x v="22"/>
    <n v="13"/>
    <n v="4.0999999999999996"/>
    <x v="0"/>
    <n v="54"/>
    <x v="2"/>
    <x v="1"/>
    <x v="0"/>
    <x v="1"/>
    <x v="4"/>
  </r>
  <r>
    <n v="154"/>
    <x v="0"/>
    <x v="5"/>
    <x v="5"/>
    <x v="2"/>
    <x v="23"/>
    <n v="7"/>
    <n v="3.4"/>
    <x v="1"/>
    <n v="23"/>
    <x v="1"/>
    <x v="0"/>
    <x v="3"/>
    <x v="2"/>
    <x v="0"/>
  </r>
  <r>
    <n v="155"/>
    <x v="0"/>
    <x v="6"/>
    <x v="0"/>
    <x v="0"/>
    <x v="24"/>
    <n v="15"/>
    <n v="4.5999999999999996"/>
    <x v="0"/>
    <n v="27"/>
    <x v="0"/>
    <x v="0"/>
    <x v="1"/>
    <x v="0"/>
    <x v="0"/>
  </r>
  <r>
    <n v="156"/>
    <x v="1"/>
    <x v="7"/>
    <x v="1"/>
    <x v="1"/>
    <x v="25"/>
    <n v="12"/>
    <n v="4.3"/>
    <x v="1"/>
    <n v="13"/>
    <x v="1"/>
    <x v="0"/>
    <x v="1"/>
    <x v="1"/>
    <x v="3"/>
  </r>
  <r>
    <n v="157"/>
    <x v="0"/>
    <x v="8"/>
    <x v="2"/>
    <x v="2"/>
    <x v="26"/>
    <n v="9"/>
    <n v="3.6"/>
    <x v="0"/>
    <n v="39"/>
    <x v="2"/>
    <x v="1"/>
    <x v="2"/>
    <x v="2"/>
    <x v="2"/>
  </r>
  <r>
    <n v="158"/>
    <x v="1"/>
    <x v="9"/>
    <x v="3"/>
    <x v="0"/>
    <x v="27"/>
    <n v="21"/>
    <n v="4.9000000000000004"/>
    <x v="1"/>
    <n v="10"/>
    <x v="0"/>
    <x v="0"/>
    <x v="0"/>
    <x v="0"/>
    <x v="3"/>
  </r>
  <r>
    <n v="159"/>
    <x v="1"/>
    <x v="10"/>
    <x v="4"/>
    <x v="1"/>
    <x v="28"/>
    <n v="10"/>
    <n v="3.8"/>
    <x v="0"/>
    <n v="33"/>
    <x v="2"/>
    <x v="1"/>
    <x v="1"/>
    <x v="1"/>
    <x v="5"/>
  </r>
  <r>
    <n v="160"/>
    <x v="0"/>
    <x v="11"/>
    <x v="5"/>
    <x v="2"/>
    <x v="29"/>
    <n v="8"/>
    <n v="3.1"/>
    <x v="1"/>
    <n v="19"/>
    <x v="1"/>
    <x v="0"/>
    <x v="3"/>
    <x v="2"/>
    <x v="1"/>
  </r>
  <r>
    <n v="161"/>
    <x v="0"/>
    <x v="3"/>
    <x v="0"/>
    <x v="0"/>
    <x v="30"/>
    <n v="16"/>
    <n v="4.5"/>
    <x v="0"/>
    <n v="20"/>
    <x v="0"/>
    <x v="0"/>
    <x v="0"/>
    <x v="0"/>
    <x v="1"/>
  </r>
  <r>
    <n v="162"/>
    <x v="1"/>
    <x v="12"/>
    <x v="1"/>
    <x v="1"/>
    <x v="31"/>
    <n v="13"/>
    <n v="4.2"/>
    <x v="1"/>
    <n v="14"/>
    <x v="0"/>
    <x v="0"/>
    <x v="1"/>
    <x v="1"/>
    <x v="3"/>
  </r>
  <r>
    <n v="163"/>
    <x v="0"/>
    <x v="13"/>
    <x v="2"/>
    <x v="2"/>
    <x v="32"/>
    <n v="9"/>
    <n v="3.5"/>
    <x v="0"/>
    <n v="37"/>
    <x v="2"/>
    <x v="1"/>
    <x v="2"/>
    <x v="2"/>
    <x v="2"/>
  </r>
  <r>
    <n v="164"/>
    <x v="1"/>
    <x v="0"/>
    <x v="3"/>
    <x v="0"/>
    <x v="33"/>
    <n v="18"/>
    <n v="4.7"/>
    <x v="1"/>
    <n v="10"/>
    <x v="0"/>
    <x v="0"/>
    <x v="0"/>
    <x v="0"/>
    <x v="3"/>
  </r>
  <r>
    <n v="165"/>
    <x v="1"/>
    <x v="14"/>
    <x v="4"/>
    <x v="1"/>
    <x v="34"/>
    <n v="12"/>
    <n v="3.9"/>
    <x v="0"/>
    <n v="47"/>
    <x v="2"/>
    <x v="1"/>
    <x v="0"/>
    <x v="1"/>
    <x v="6"/>
  </r>
  <r>
    <n v="166"/>
    <x v="0"/>
    <x v="15"/>
    <x v="5"/>
    <x v="2"/>
    <x v="35"/>
    <n v="8"/>
    <n v="3.2"/>
    <x v="1"/>
    <n v="24"/>
    <x v="1"/>
    <x v="0"/>
    <x v="3"/>
    <x v="2"/>
    <x v="0"/>
  </r>
  <r>
    <n v="167"/>
    <x v="0"/>
    <x v="10"/>
    <x v="0"/>
    <x v="0"/>
    <x v="36"/>
    <n v="14"/>
    <n v="4.4000000000000004"/>
    <x v="0"/>
    <n v="22"/>
    <x v="0"/>
    <x v="0"/>
    <x v="1"/>
    <x v="0"/>
    <x v="0"/>
  </r>
  <r>
    <n v="168"/>
    <x v="1"/>
    <x v="1"/>
    <x v="1"/>
    <x v="1"/>
    <x v="37"/>
    <n v="11"/>
    <n v="4.0999999999999996"/>
    <x v="1"/>
    <n v="17"/>
    <x v="1"/>
    <x v="0"/>
    <x v="1"/>
    <x v="1"/>
    <x v="1"/>
  </r>
  <r>
    <n v="169"/>
    <x v="0"/>
    <x v="2"/>
    <x v="2"/>
    <x v="2"/>
    <x v="38"/>
    <n v="10"/>
    <n v="3.3"/>
    <x v="0"/>
    <n v="40"/>
    <x v="2"/>
    <x v="1"/>
    <x v="2"/>
    <x v="2"/>
    <x v="2"/>
  </r>
  <r>
    <n v="170"/>
    <x v="1"/>
    <x v="3"/>
    <x v="3"/>
    <x v="0"/>
    <x v="39"/>
    <n v="20"/>
    <n v="4.8"/>
    <x v="1"/>
    <n v="12"/>
    <x v="0"/>
    <x v="0"/>
    <x v="0"/>
    <x v="0"/>
    <x v="3"/>
  </r>
  <r>
    <n v="171"/>
    <x v="1"/>
    <x v="4"/>
    <x v="4"/>
    <x v="1"/>
    <x v="40"/>
    <n v="13"/>
    <n v="4"/>
    <x v="0"/>
    <n v="53"/>
    <x v="2"/>
    <x v="1"/>
    <x v="0"/>
    <x v="1"/>
    <x v="4"/>
  </r>
  <r>
    <n v="172"/>
    <x v="0"/>
    <x v="5"/>
    <x v="5"/>
    <x v="2"/>
    <x v="41"/>
    <n v="7"/>
    <n v="3.1"/>
    <x v="1"/>
    <n v="21"/>
    <x v="1"/>
    <x v="0"/>
    <x v="3"/>
    <x v="2"/>
    <x v="1"/>
  </r>
  <r>
    <n v="173"/>
    <x v="0"/>
    <x v="6"/>
    <x v="0"/>
    <x v="0"/>
    <x v="42"/>
    <n v="15"/>
    <n v="4.5"/>
    <x v="0"/>
    <n v="26"/>
    <x v="0"/>
    <x v="0"/>
    <x v="1"/>
    <x v="0"/>
    <x v="0"/>
  </r>
  <r>
    <n v="174"/>
    <x v="1"/>
    <x v="7"/>
    <x v="1"/>
    <x v="1"/>
    <x v="43"/>
    <n v="12"/>
    <n v="4.3"/>
    <x v="1"/>
    <n v="12"/>
    <x v="1"/>
    <x v="0"/>
    <x v="1"/>
    <x v="1"/>
    <x v="3"/>
  </r>
  <r>
    <n v="175"/>
    <x v="0"/>
    <x v="8"/>
    <x v="2"/>
    <x v="2"/>
    <x v="44"/>
    <n v="9"/>
    <n v="3.6"/>
    <x v="0"/>
    <n v="38"/>
    <x v="2"/>
    <x v="1"/>
    <x v="2"/>
    <x v="2"/>
    <x v="2"/>
  </r>
  <r>
    <n v="176"/>
    <x v="1"/>
    <x v="9"/>
    <x v="3"/>
    <x v="0"/>
    <x v="45"/>
    <n v="21"/>
    <n v="4.9000000000000004"/>
    <x v="1"/>
    <n v="9"/>
    <x v="0"/>
    <x v="0"/>
    <x v="0"/>
    <x v="0"/>
    <x v="3"/>
  </r>
  <r>
    <n v="177"/>
    <x v="1"/>
    <x v="10"/>
    <x v="4"/>
    <x v="1"/>
    <x v="46"/>
    <n v="10"/>
    <n v="3.8"/>
    <x v="0"/>
    <n v="32"/>
    <x v="2"/>
    <x v="1"/>
    <x v="1"/>
    <x v="1"/>
    <x v="5"/>
  </r>
  <r>
    <n v="178"/>
    <x v="0"/>
    <x v="11"/>
    <x v="5"/>
    <x v="2"/>
    <x v="11"/>
    <n v="8"/>
    <n v="3"/>
    <x v="1"/>
    <n v="18"/>
    <x v="1"/>
    <x v="0"/>
    <x v="3"/>
    <x v="2"/>
    <x v="1"/>
  </r>
  <r>
    <n v="179"/>
    <x v="0"/>
    <x v="3"/>
    <x v="0"/>
    <x v="0"/>
    <x v="47"/>
    <n v="16"/>
    <n v="4.7"/>
    <x v="0"/>
    <n v="19"/>
    <x v="0"/>
    <x v="0"/>
    <x v="0"/>
    <x v="0"/>
    <x v="1"/>
  </r>
  <r>
    <n v="180"/>
    <x v="1"/>
    <x v="1"/>
    <x v="1"/>
    <x v="1"/>
    <x v="19"/>
    <n v="11"/>
    <n v="4"/>
    <x v="1"/>
    <n v="15"/>
    <x v="1"/>
    <x v="0"/>
    <x v="1"/>
    <x v="1"/>
    <x v="1"/>
  </r>
  <r>
    <n v="181"/>
    <x v="0"/>
    <x v="2"/>
    <x v="2"/>
    <x v="2"/>
    <x v="20"/>
    <n v="10"/>
    <n v="3.3"/>
    <x v="0"/>
    <n v="39"/>
    <x v="2"/>
    <x v="1"/>
    <x v="2"/>
    <x v="2"/>
    <x v="2"/>
  </r>
  <r>
    <n v="182"/>
    <x v="1"/>
    <x v="3"/>
    <x v="3"/>
    <x v="0"/>
    <x v="21"/>
    <n v="20"/>
    <n v="4.8"/>
    <x v="1"/>
    <n v="13"/>
    <x v="0"/>
    <x v="0"/>
    <x v="0"/>
    <x v="0"/>
    <x v="3"/>
  </r>
  <r>
    <n v="183"/>
    <x v="1"/>
    <x v="4"/>
    <x v="4"/>
    <x v="1"/>
    <x v="22"/>
    <n v="13"/>
    <n v="4.0999999999999996"/>
    <x v="0"/>
    <n v="54"/>
    <x v="2"/>
    <x v="1"/>
    <x v="0"/>
    <x v="1"/>
    <x v="4"/>
  </r>
  <r>
    <n v="184"/>
    <x v="0"/>
    <x v="5"/>
    <x v="5"/>
    <x v="2"/>
    <x v="23"/>
    <n v="7"/>
    <n v="3.4"/>
    <x v="1"/>
    <n v="23"/>
    <x v="1"/>
    <x v="0"/>
    <x v="3"/>
    <x v="2"/>
    <x v="0"/>
  </r>
  <r>
    <n v="185"/>
    <x v="0"/>
    <x v="6"/>
    <x v="0"/>
    <x v="0"/>
    <x v="24"/>
    <n v="15"/>
    <n v="4.5999999999999996"/>
    <x v="0"/>
    <n v="27"/>
    <x v="0"/>
    <x v="0"/>
    <x v="1"/>
    <x v="0"/>
    <x v="0"/>
  </r>
  <r>
    <n v="186"/>
    <x v="1"/>
    <x v="7"/>
    <x v="1"/>
    <x v="1"/>
    <x v="25"/>
    <n v="12"/>
    <n v="4.3"/>
    <x v="1"/>
    <n v="13"/>
    <x v="1"/>
    <x v="0"/>
    <x v="1"/>
    <x v="1"/>
    <x v="3"/>
  </r>
  <r>
    <n v="187"/>
    <x v="0"/>
    <x v="8"/>
    <x v="2"/>
    <x v="2"/>
    <x v="26"/>
    <n v="9"/>
    <n v="3.6"/>
    <x v="0"/>
    <n v="39"/>
    <x v="2"/>
    <x v="1"/>
    <x v="2"/>
    <x v="2"/>
    <x v="2"/>
  </r>
  <r>
    <n v="188"/>
    <x v="1"/>
    <x v="9"/>
    <x v="3"/>
    <x v="0"/>
    <x v="27"/>
    <n v="21"/>
    <n v="4.9000000000000004"/>
    <x v="1"/>
    <n v="10"/>
    <x v="0"/>
    <x v="0"/>
    <x v="0"/>
    <x v="0"/>
    <x v="3"/>
  </r>
  <r>
    <n v="189"/>
    <x v="1"/>
    <x v="10"/>
    <x v="4"/>
    <x v="1"/>
    <x v="28"/>
    <n v="10"/>
    <n v="3.8"/>
    <x v="0"/>
    <n v="33"/>
    <x v="2"/>
    <x v="1"/>
    <x v="1"/>
    <x v="1"/>
    <x v="5"/>
  </r>
  <r>
    <n v="190"/>
    <x v="0"/>
    <x v="11"/>
    <x v="5"/>
    <x v="2"/>
    <x v="29"/>
    <n v="8"/>
    <n v="3.1"/>
    <x v="1"/>
    <n v="19"/>
    <x v="1"/>
    <x v="0"/>
    <x v="3"/>
    <x v="2"/>
    <x v="1"/>
  </r>
  <r>
    <n v="191"/>
    <x v="0"/>
    <x v="3"/>
    <x v="0"/>
    <x v="0"/>
    <x v="30"/>
    <n v="16"/>
    <n v="4.5"/>
    <x v="0"/>
    <n v="20"/>
    <x v="0"/>
    <x v="0"/>
    <x v="0"/>
    <x v="0"/>
    <x v="1"/>
  </r>
  <r>
    <n v="192"/>
    <x v="1"/>
    <x v="12"/>
    <x v="1"/>
    <x v="1"/>
    <x v="31"/>
    <n v="13"/>
    <n v="4.2"/>
    <x v="1"/>
    <n v="14"/>
    <x v="0"/>
    <x v="0"/>
    <x v="1"/>
    <x v="1"/>
    <x v="3"/>
  </r>
  <r>
    <n v="193"/>
    <x v="0"/>
    <x v="13"/>
    <x v="2"/>
    <x v="2"/>
    <x v="32"/>
    <n v="9"/>
    <n v="3.5"/>
    <x v="0"/>
    <n v="37"/>
    <x v="2"/>
    <x v="1"/>
    <x v="2"/>
    <x v="2"/>
    <x v="2"/>
  </r>
  <r>
    <n v="194"/>
    <x v="1"/>
    <x v="0"/>
    <x v="3"/>
    <x v="0"/>
    <x v="33"/>
    <n v="18"/>
    <n v="4.7"/>
    <x v="1"/>
    <n v="10"/>
    <x v="0"/>
    <x v="0"/>
    <x v="0"/>
    <x v="0"/>
    <x v="3"/>
  </r>
  <r>
    <n v="195"/>
    <x v="1"/>
    <x v="14"/>
    <x v="4"/>
    <x v="1"/>
    <x v="34"/>
    <n v="12"/>
    <n v="3.9"/>
    <x v="0"/>
    <n v="47"/>
    <x v="2"/>
    <x v="1"/>
    <x v="0"/>
    <x v="1"/>
    <x v="6"/>
  </r>
  <r>
    <n v="196"/>
    <x v="0"/>
    <x v="15"/>
    <x v="5"/>
    <x v="2"/>
    <x v="35"/>
    <n v="8"/>
    <n v="3.2"/>
    <x v="1"/>
    <n v="24"/>
    <x v="1"/>
    <x v="0"/>
    <x v="3"/>
    <x v="2"/>
    <x v="0"/>
  </r>
  <r>
    <n v="197"/>
    <x v="0"/>
    <x v="10"/>
    <x v="0"/>
    <x v="0"/>
    <x v="36"/>
    <n v="14"/>
    <n v="4.4000000000000004"/>
    <x v="0"/>
    <n v="22"/>
    <x v="0"/>
    <x v="0"/>
    <x v="1"/>
    <x v="0"/>
    <x v="0"/>
  </r>
  <r>
    <n v="198"/>
    <x v="1"/>
    <x v="1"/>
    <x v="1"/>
    <x v="1"/>
    <x v="37"/>
    <n v="11"/>
    <n v="4.0999999999999996"/>
    <x v="1"/>
    <n v="17"/>
    <x v="1"/>
    <x v="0"/>
    <x v="1"/>
    <x v="1"/>
    <x v="1"/>
  </r>
  <r>
    <n v="199"/>
    <x v="0"/>
    <x v="2"/>
    <x v="2"/>
    <x v="2"/>
    <x v="38"/>
    <n v="10"/>
    <n v="3.3"/>
    <x v="0"/>
    <n v="40"/>
    <x v="2"/>
    <x v="1"/>
    <x v="2"/>
    <x v="2"/>
    <x v="2"/>
  </r>
  <r>
    <n v="200"/>
    <x v="1"/>
    <x v="3"/>
    <x v="3"/>
    <x v="0"/>
    <x v="39"/>
    <n v="20"/>
    <n v="4.8"/>
    <x v="1"/>
    <n v="12"/>
    <x v="0"/>
    <x v="0"/>
    <x v="0"/>
    <x v="0"/>
    <x v="3"/>
  </r>
  <r>
    <n v="201"/>
    <x v="1"/>
    <x v="4"/>
    <x v="4"/>
    <x v="1"/>
    <x v="40"/>
    <n v="13"/>
    <n v="4"/>
    <x v="0"/>
    <n v="53"/>
    <x v="2"/>
    <x v="1"/>
    <x v="0"/>
    <x v="1"/>
    <x v="4"/>
  </r>
  <r>
    <n v="202"/>
    <x v="0"/>
    <x v="5"/>
    <x v="5"/>
    <x v="2"/>
    <x v="41"/>
    <n v="7"/>
    <n v="3.1"/>
    <x v="1"/>
    <n v="21"/>
    <x v="1"/>
    <x v="0"/>
    <x v="3"/>
    <x v="2"/>
    <x v="1"/>
  </r>
  <r>
    <n v="203"/>
    <x v="0"/>
    <x v="6"/>
    <x v="0"/>
    <x v="0"/>
    <x v="42"/>
    <n v="15"/>
    <n v="4.5"/>
    <x v="0"/>
    <n v="26"/>
    <x v="0"/>
    <x v="0"/>
    <x v="1"/>
    <x v="0"/>
    <x v="0"/>
  </r>
  <r>
    <n v="204"/>
    <x v="1"/>
    <x v="7"/>
    <x v="1"/>
    <x v="1"/>
    <x v="43"/>
    <n v="12"/>
    <n v="4.3"/>
    <x v="1"/>
    <n v="12"/>
    <x v="1"/>
    <x v="0"/>
    <x v="1"/>
    <x v="1"/>
    <x v="3"/>
  </r>
  <r>
    <n v="205"/>
    <x v="0"/>
    <x v="8"/>
    <x v="2"/>
    <x v="2"/>
    <x v="44"/>
    <n v="9"/>
    <n v="3.6"/>
    <x v="0"/>
    <n v="38"/>
    <x v="2"/>
    <x v="1"/>
    <x v="2"/>
    <x v="2"/>
    <x v="2"/>
  </r>
  <r>
    <n v="206"/>
    <x v="1"/>
    <x v="9"/>
    <x v="3"/>
    <x v="0"/>
    <x v="45"/>
    <n v="21"/>
    <n v="4.9000000000000004"/>
    <x v="1"/>
    <n v="9"/>
    <x v="0"/>
    <x v="0"/>
    <x v="0"/>
    <x v="0"/>
    <x v="3"/>
  </r>
  <r>
    <n v="207"/>
    <x v="1"/>
    <x v="10"/>
    <x v="4"/>
    <x v="1"/>
    <x v="46"/>
    <n v="10"/>
    <n v="3.8"/>
    <x v="0"/>
    <n v="32"/>
    <x v="2"/>
    <x v="1"/>
    <x v="1"/>
    <x v="1"/>
    <x v="5"/>
  </r>
  <r>
    <n v="208"/>
    <x v="0"/>
    <x v="11"/>
    <x v="5"/>
    <x v="2"/>
    <x v="11"/>
    <n v="8"/>
    <n v="3"/>
    <x v="1"/>
    <n v="18"/>
    <x v="1"/>
    <x v="0"/>
    <x v="3"/>
    <x v="2"/>
    <x v="1"/>
  </r>
  <r>
    <n v="209"/>
    <x v="0"/>
    <x v="3"/>
    <x v="0"/>
    <x v="0"/>
    <x v="47"/>
    <n v="16"/>
    <n v="4.7"/>
    <x v="0"/>
    <n v="19"/>
    <x v="0"/>
    <x v="0"/>
    <x v="0"/>
    <x v="0"/>
    <x v="1"/>
  </r>
  <r>
    <n v="210"/>
    <x v="1"/>
    <x v="1"/>
    <x v="1"/>
    <x v="1"/>
    <x v="19"/>
    <n v="11"/>
    <n v="4"/>
    <x v="1"/>
    <n v="15"/>
    <x v="1"/>
    <x v="0"/>
    <x v="1"/>
    <x v="1"/>
    <x v="1"/>
  </r>
  <r>
    <n v="211"/>
    <x v="0"/>
    <x v="2"/>
    <x v="2"/>
    <x v="2"/>
    <x v="20"/>
    <n v="10"/>
    <n v="3.3"/>
    <x v="0"/>
    <n v="39"/>
    <x v="2"/>
    <x v="1"/>
    <x v="2"/>
    <x v="2"/>
    <x v="2"/>
  </r>
  <r>
    <n v="212"/>
    <x v="1"/>
    <x v="3"/>
    <x v="3"/>
    <x v="0"/>
    <x v="21"/>
    <n v="20"/>
    <n v="4.8"/>
    <x v="1"/>
    <n v="13"/>
    <x v="0"/>
    <x v="0"/>
    <x v="0"/>
    <x v="0"/>
    <x v="3"/>
  </r>
  <r>
    <n v="213"/>
    <x v="1"/>
    <x v="4"/>
    <x v="4"/>
    <x v="1"/>
    <x v="22"/>
    <n v="13"/>
    <n v="4.0999999999999996"/>
    <x v="0"/>
    <n v="54"/>
    <x v="2"/>
    <x v="1"/>
    <x v="0"/>
    <x v="1"/>
    <x v="4"/>
  </r>
  <r>
    <n v="214"/>
    <x v="0"/>
    <x v="5"/>
    <x v="5"/>
    <x v="2"/>
    <x v="23"/>
    <n v="7"/>
    <n v="3.4"/>
    <x v="1"/>
    <n v="23"/>
    <x v="1"/>
    <x v="0"/>
    <x v="3"/>
    <x v="2"/>
    <x v="0"/>
  </r>
  <r>
    <n v="215"/>
    <x v="0"/>
    <x v="6"/>
    <x v="0"/>
    <x v="0"/>
    <x v="24"/>
    <n v="15"/>
    <n v="4.5999999999999996"/>
    <x v="0"/>
    <n v="27"/>
    <x v="0"/>
    <x v="0"/>
    <x v="1"/>
    <x v="0"/>
    <x v="0"/>
  </r>
  <r>
    <n v="216"/>
    <x v="1"/>
    <x v="7"/>
    <x v="1"/>
    <x v="1"/>
    <x v="25"/>
    <n v="12"/>
    <n v="4.3"/>
    <x v="1"/>
    <n v="13"/>
    <x v="1"/>
    <x v="0"/>
    <x v="1"/>
    <x v="1"/>
    <x v="3"/>
  </r>
  <r>
    <n v="217"/>
    <x v="0"/>
    <x v="8"/>
    <x v="2"/>
    <x v="2"/>
    <x v="26"/>
    <n v="9"/>
    <n v="3.6"/>
    <x v="0"/>
    <n v="39"/>
    <x v="2"/>
    <x v="1"/>
    <x v="2"/>
    <x v="2"/>
    <x v="2"/>
  </r>
  <r>
    <n v="218"/>
    <x v="1"/>
    <x v="9"/>
    <x v="3"/>
    <x v="0"/>
    <x v="27"/>
    <n v="21"/>
    <n v="4.9000000000000004"/>
    <x v="1"/>
    <n v="10"/>
    <x v="0"/>
    <x v="0"/>
    <x v="0"/>
    <x v="0"/>
    <x v="3"/>
  </r>
  <r>
    <n v="219"/>
    <x v="1"/>
    <x v="10"/>
    <x v="4"/>
    <x v="1"/>
    <x v="28"/>
    <n v="10"/>
    <n v="3.8"/>
    <x v="0"/>
    <n v="33"/>
    <x v="2"/>
    <x v="1"/>
    <x v="1"/>
    <x v="1"/>
    <x v="5"/>
  </r>
  <r>
    <n v="220"/>
    <x v="0"/>
    <x v="11"/>
    <x v="5"/>
    <x v="2"/>
    <x v="29"/>
    <n v="8"/>
    <n v="3.1"/>
    <x v="1"/>
    <n v="19"/>
    <x v="1"/>
    <x v="0"/>
    <x v="3"/>
    <x v="2"/>
    <x v="1"/>
  </r>
  <r>
    <n v="221"/>
    <x v="0"/>
    <x v="3"/>
    <x v="0"/>
    <x v="0"/>
    <x v="30"/>
    <n v="16"/>
    <n v="4.5"/>
    <x v="0"/>
    <n v="20"/>
    <x v="0"/>
    <x v="0"/>
    <x v="0"/>
    <x v="0"/>
    <x v="1"/>
  </r>
  <r>
    <n v="222"/>
    <x v="1"/>
    <x v="12"/>
    <x v="1"/>
    <x v="1"/>
    <x v="31"/>
    <n v="13"/>
    <n v="4.2"/>
    <x v="1"/>
    <n v="14"/>
    <x v="0"/>
    <x v="0"/>
    <x v="1"/>
    <x v="1"/>
    <x v="3"/>
  </r>
  <r>
    <n v="223"/>
    <x v="0"/>
    <x v="13"/>
    <x v="2"/>
    <x v="2"/>
    <x v="32"/>
    <n v="9"/>
    <n v="3.5"/>
    <x v="0"/>
    <n v="37"/>
    <x v="2"/>
    <x v="1"/>
    <x v="2"/>
    <x v="2"/>
    <x v="2"/>
  </r>
  <r>
    <n v="224"/>
    <x v="1"/>
    <x v="0"/>
    <x v="3"/>
    <x v="0"/>
    <x v="33"/>
    <n v="18"/>
    <n v="4.7"/>
    <x v="1"/>
    <n v="10"/>
    <x v="0"/>
    <x v="0"/>
    <x v="0"/>
    <x v="0"/>
    <x v="3"/>
  </r>
  <r>
    <n v="225"/>
    <x v="1"/>
    <x v="14"/>
    <x v="4"/>
    <x v="1"/>
    <x v="34"/>
    <n v="12"/>
    <n v="3.9"/>
    <x v="0"/>
    <n v="47"/>
    <x v="2"/>
    <x v="1"/>
    <x v="0"/>
    <x v="1"/>
    <x v="6"/>
  </r>
  <r>
    <n v="226"/>
    <x v="0"/>
    <x v="15"/>
    <x v="5"/>
    <x v="2"/>
    <x v="35"/>
    <n v="8"/>
    <n v="3.2"/>
    <x v="1"/>
    <n v="24"/>
    <x v="1"/>
    <x v="0"/>
    <x v="3"/>
    <x v="2"/>
    <x v="0"/>
  </r>
  <r>
    <n v="227"/>
    <x v="0"/>
    <x v="10"/>
    <x v="0"/>
    <x v="0"/>
    <x v="36"/>
    <n v="14"/>
    <n v="4.4000000000000004"/>
    <x v="0"/>
    <n v="22"/>
    <x v="0"/>
    <x v="0"/>
    <x v="1"/>
    <x v="0"/>
    <x v="0"/>
  </r>
  <r>
    <n v="228"/>
    <x v="1"/>
    <x v="1"/>
    <x v="1"/>
    <x v="1"/>
    <x v="37"/>
    <n v="11"/>
    <n v="4.0999999999999996"/>
    <x v="1"/>
    <n v="17"/>
    <x v="1"/>
    <x v="0"/>
    <x v="1"/>
    <x v="1"/>
    <x v="1"/>
  </r>
  <r>
    <n v="229"/>
    <x v="0"/>
    <x v="2"/>
    <x v="2"/>
    <x v="2"/>
    <x v="38"/>
    <n v="10"/>
    <n v="3.3"/>
    <x v="0"/>
    <n v="40"/>
    <x v="2"/>
    <x v="1"/>
    <x v="2"/>
    <x v="2"/>
    <x v="2"/>
  </r>
  <r>
    <n v="230"/>
    <x v="1"/>
    <x v="3"/>
    <x v="3"/>
    <x v="0"/>
    <x v="39"/>
    <n v="20"/>
    <n v="4.8"/>
    <x v="1"/>
    <n v="12"/>
    <x v="0"/>
    <x v="0"/>
    <x v="0"/>
    <x v="0"/>
    <x v="3"/>
  </r>
  <r>
    <n v="231"/>
    <x v="1"/>
    <x v="4"/>
    <x v="4"/>
    <x v="1"/>
    <x v="40"/>
    <n v="13"/>
    <n v="4"/>
    <x v="0"/>
    <n v="53"/>
    <x v="2"/>
    <x v="1"/>
    <x v="0"/>
    <x v="1"/>
    <x v="4"/>
  </r>
  <r>
    <n v="232"/>
    <x v="0"/>
    <x v="5"/>
    <x v="5"/>
    <x v="2"/>
    <x v="41"/>
    <n v="7"/>
    <n v="3.1"/>
    <x v="1"/>
    <n v="21"/>
    <x v="1"/>
    <x v="0"/>
    <x v="3"/>
    <x v="2"/>
    <x v="1"/>
  </r>
  <r>
    <n v="233"/>
    <x v="0"/>
    <x v="6"/>
    <x v="0"/>
    <x v="0"/>
    <x v="42"/>
    <n v="15"/>
    <n v="4.5"/>
    <x v="0"/>
    <n v="26"/>
    <x v="0"/>
    <x v="0"/>
    <x v="1"/>
    <x v="0"/>
    <x v="0"/>
  </r>
  <r>
    <n v="234"/>
    <x v="1"/>
    <x v="7"/>
    <x v="1"/>
    <x v="1"/>
    <x v="43"/>
    <n v="12"/>
    <n v="4.3"/>
    <x v="1"/>
    <n v="12"/>
    <x v="1"/>
    <x v="0"/>
    <x v="1"/>
    <x v="1"/>
    <x v="3"/>
  </r>
  <r>
    <n v="235"/>
    <x v="0"/>
    <x v="8"/>
    <x v="2"/>
    <x v="2"/>
    <x v="44"/>
    <n v="9"/>
    <n v="3.6"/>
    <x v="0"/>
    <n v="38"/>
    <x v="2"/>
    <x v="1"/>
    <x v="2"/>
    <x v="2"/>
    <x v="2"/>
  </r>
  <r>
    <n v="236"/>
    <x v="1"/>
    <x v="9"/>
    <x v="3"/>
    <x v="0"/>
    <x v="45"/>
    <n v="21"/>
    <n v="4.9000000000000004"/>
    <x v="1"/>
    <n v="9"/>
    <x v="0"/>
    <x v="0"/>
    <x v="0"/>
    <x v="0"/>
    <x v="3"/>
  </r>
  <r>
    <n v="237"/>
    <x v="1"/>
    <x v="10"/>
    <x v="4"/>
    <x v="1"/>
    <x v="46"/>
    <n v="10"/>
    <n v="3.8"/>
    <x v="0"/>
    <n v="32"/>
    <x v="2"/>
    <x v="1"/>
    <x v="1"/>
    <x v="1"/>
    <x v="5"/>
  </r>
  <r>
    <n v="238"/>
    <x v="0"/>
    <x v="11"/>
    <x v="5"/>
    <x v="2"/>
    <x v="11"/>
    <n v="8"/>
    <n v="3"/>
    <x v="1"/>
    <n v="18"/>
    <x v="1"/>
    <x v="0"/>
    <x v="3"/>
    <x v="2"/>
    <x v="1"/>
  </r>
  <r>
    <n v="239"/>
    <x v="0"/>
    <x v="3"/>
    <x v="0"/>
    <x v="0"/>
    <x v="47"/>
    <n v="16"/>
    <n v="4.7"/>
    <x v="0"/>
    <n v="19"/>
    <x v="0"/>
    <x v="0"/>
    <x v="0"/>
    <x v="0"/>
    <x v="1"/>
  </r>
  <r>
    <n v="240"/>
    <x v="1"/>
    <x v="1"/>
    <x v="1"/>
    <x v="1"/>
    <x v="19"/>
    <n v="11"/>
    <n v="4"/>
    <x v="1"/>
    <n v="15"/>
    <x v="1"/>
    <x v="0"/>
    <x v="1"/>
    <x v="1"/>
    <x v="1"/>
  </r>
  <r>
    <n v="241"/>
    <x v="0"/>
    <x v="2"/>
    <x v="2"/>
    <x v="2"/>
    <x v="20"/>
    <n v="10"/>
    <n v="3.3"/>
    <x v="0"/>
    <n v="39"/>
    <x v="2"/>
    <x v="1"/>
    <x v="2"/>
    <x v="2"/>
    <x v="2"/>
  </r>
  <r>
    <n v="242"/>
    <x v="1"/>
    <x v="3"/>
    <x v="3"/>
    <x v="0"/>
    <x v="21"/>
    <n v="20"/>
    <n v="4.8"/>
    <x v="1"/>
    <n v="13"/>
    <x v="0"/>
    <x v="0"/>
    <x v="0"/>
    <x v="0"/>
    <x v="3"/>
  </r>
  <r>
    <n v="243"/>
    <x v="1"/>
    <x v="4"/>
    <x v="4"/>
    <x v="1"/>
    <x v="22"/>
    <n v="13"/>
    <n v="4.0999999999999996"/>
    <x v="0"/>
    <n v="54"/>
    <x v="2"/>
    <x v="1"/>
    <x v="0"/>
    <x v="1"/>
    <x v="4"/>
  </r>
  <r>
    <n v="244"/>
    <x v="0"/>
    <x v="5"/>
    <x v="5"/>
    <x v="2"/>
    <x v="23"/>
    <n v="7"/>
    <n v="3.4"/>
    <x v="1"/>
    <n v="23"/>
    <x v="1"/>
    <x v="0"/>
    <x v="3"/>
    <x v="2"/>
    <x v="0"/>
  </r>
  <r>
    <n v="245"/>
    <x v="0"/>
    <x v="6"/>
    <x v="0"/>
    <x v="0"/>
    <x v="42"/>
    <n v="15"/>
    <n v="4.5"/>
    <x v="0"/>
    <n v="26"/>
    <x v="0"/>
    <x v="0"/>
    <x v="1"/>
    <x v="0"/>
    <x v="0"/>
  </r>
  <r>
    <n v="246"/>
    <x v="1"/>
    <x v="7"/>
    <x v="1"/>
    <x v="1"/>
    <x v="43"/>
    <n v="12"/>
    <n v="4.3"/>
    <x v="1"/>
    <n v="12"/>
    <x v="1"/>
    <x v="0"/>
    <x v="1"/>
    <x v="1"/>
    <x v="3"/>
  </r>
  <r>
    <n v="247"/>
    <x v="0"/>
    <x v="8"/>
    <x v="2"/>
    <x v="2"/>
    <x v="44"/>
    <n v="9"/>
    <n v="3.6"/>
    <x v="0"/>
    <n v="38"/>
    <x v="2"/>
    <x v="1"/>
    <x v="2"/>
    <x v="2"/>
    <x v="2"/>
  </r>
  <r>
    <n v="248"/>
    <x v="1"/>
    <x v="9"/>
    <x v="3"/>
    <x v="0"/>
    <x v="45"/>
    <n v="21"/>
    <n v="4.9000000000000004"/>
    <x v="1"/>
    <n v="9"/>
    <x v="0"/>
    <x v="0"/>
    <x v="0"/>
    <x v="0"/>
    <x v="3"/>
  </r>
  <r>
    <n v="249"/>
    <x v="1"/>
    <x v="10"/>
    <x v="4"/>
    <x v="1"/>
    <x v="46"/>
    <n v="10"/>
    <n v="3.8"/>
    <x v="0"/>
    <n v="32"/>
    <x v="2"/>
    <x v="1"/>
    <x v="1"/>
    <x v="1"/>
    <x v="5"/>
  </r>
  <r>
    <n v="250"/>
    <x v="0"/>
    <x v="11"/>
    <x v="5"/>
    <x v="2"/>
    <x v="11"/>
    <n v="8"/>
    <n v="3"/>
    <x v="1"/>
    <n v="18"/>
    <x v="1"/>
    <x v="0"/>
    <x v="3"/>
    <x v="2"/>
    <x v="1"/>
  </r>
  <r>
    <n v="251"/>
    <x v="0"/>
    <x v="3"/>
    <x v="0"/>
    <x v="0"/>
    <x v="47"/>
    <n v="16"/>
    <n v="4.7"/>
    <x v="0"/>
    <n v="19"/>
    <x v="0"/>
    <x v="0"/>
    <x v="0"/>
    <x v="0"/>
    <x v="1"/>
  </r>
  <r>
    <n v="252"/>
    <x v="1"/>
    <x v="1"/>
    <x v="1"/>
    <x v="1"/>
    <x v="19"/>
    <n v="11"/>
    <n v="4"/>
    <x v="1"/>
    <n v="15"/>
    <x v="1"/>
    <x v="0"/>
    <x v="1"/>
    <x v="1"/>
    <x v="1"/>
  </r>
  <r>
    <n v="253"/>
    <x v="0"/>
    <x v="2"/>
    <x v="2"/>
    <x v="2"/>
    <x v="20"/>
    <n v="10"/>
    <n v="3.3"/>
    <x v="0"/>
    <n v="39"/>
    <x v="2"/>
    <x v="1"/>
    <x v="2"/>
    <x v="2"/>
    <x v="2"/>
  </r>
  <r>
    <n v="254"/>
    <x v="1"/>
    <x v="3"/>
    <x v="3"/>
    <x v="0"/>
    <x v="21"/>
    <n v="20"/>
    <n v="4.8"/>
    <x v="1"/>
    <n v="13"/>
    <x v="0"/>
    <x v="0"/>
    <x v="0"/>
    <x v="0"/>
    <x v="3"/>
  </r>
  <r>
    <n v="255"/>
    <x v="1"/>
    <x v="4"/>
    <x v="4"/>
    <x v="1"/>
    <x v="22"/>
    <n v="13"/>
    <n v="4.0999999999999996"/>
    <x v="0"/>
    <n v="54"/>
    <x v="2"/>
    <x v="1"/>
    <x v="0"/>
    <x v="1"/>
    <x v="4"/>
  </r>
  <r>
    <n v="256"/>
    <x v="0"/>
    <x v="5"/>
    <x v="5"/>
    <x v="2"/>
    <x v="23"/>
    <n v="7"/>
    <n v="3.4"/>
    <x v="1"/>
    <n v="23"/>
    <x v="1"/>
    <x v="0"/>
    <x v="3"/>
    <x v="2"/>
    <x v="0"/>
  </r>
  <r>
    <n v="257"/>
    <x v="0"/>
    <x v="6"/>
    <x v="0"/>
    <x v="0"/>
    <x v="24"/>
    <n v="15"/>
    <n v="4.5999999999999996"/>
    <x v="0"/>
    <n v="27"/>
    <x v="0"/>
    <x v="0"/>
    <x v="1"/>
    <x v="0"/>
    <x v="0"/>
  </r>
  <r>
    <n v="258"/>
    <x v="1"/>
    <x v="7"/>
    <x v="1"/>
    <x v="1"/>
    <x v="25"/>
    <n v="12"/>
    <n v="4.3"/>
    <x v="1"/>
    <n v="13"/>
    <x v="1"/>
    <x v="0"/>
    <x v="1"/>
    <x v="1"/>
    <x v="3"/>
  </r>
  <r>
    <n v="259"/>
    <x v="0"/>
    <x v="8"/>
    <x v="2"/>
    <x v="2"/>
    <x v="26"/>
    <n v="9"/>
    <n v="3.6"/>
    <x v="0"/>
    <n v="39"/>
    <x v="2"/>
    <x v="1"/>
    <x v="2"/>
    <x v="2"/>
    <x v="2"/>
  </r>
  <r>
    <n v="260"/>
    <x v="1"/>
    <x v="9"/>
    <x v="3"/>
    <x v="0"/>
    <x v="27"/>
    <n v="21"/>
    <n v="4.9000000000000004"/>
    <x v="1"/>
    <n v="10"/>
    <x v="0"/>
    <x v="0"/>
    <x v="0"/>
    <x v="0"/>
    <x v="3"/>
  </r>
  <r>
    <n v="261"/>
    <x v="1"/>
    <x v="10"/>
    <x v="4"/>
    <x v="1"/>
    <x v="28"/>
    <n v="10"/>
    <n v="3.8"/>
    <x v="0"/>
    <n v="33"/>
    <x v="2"/>
    <x v="1"/>
    <x v="1"/>
    <x v="1"/>
    <x v="5"/>
  </r>
  <r>
    <n v="262"/>
    <x v="0"/>
    <x v="11"/>
    <x v="5"/>
    <x v="2"/>
    <x v="29"/>
    <n v="8"/>
    <n v="3.1"/>
    <x v="1"/>
    <n v="19"/>
    <x v="1"/>
    <x v="0"/>
    <x v="3"/>
    <x v="2"/>
    <x v="1"/>
  </r>
  <r>
    <n v="263"/>
    <x v="0"/>
    <x v="3"/>
    <x v="0"/>
    <x v="0"/>
    <x v="30"/>
    <n v="16"/>
    <n v="4.5"/>
    <x v="0"/>
    <n v="20"/>
    <x v="0"/>
    <x v="0"/>
    <x v="0"/>
    <x v="0"/>
    <x v="1"/>
  </r>
  <r>
    <n v="264"/>
    <x v="1"/>
    <x v="12"/>
    <x v="1"/>
    <x v="1"/>
    <x v="31"/>
    <n v="13"/>
    <n v="4.2"/>
    <x v="1"/>
    <n v="14"/>
    <x v="0"/>
    <x v="0"/>
    <x v="1"/>
    <x v="1"/>
    <x v="3"/>
  </r>
  <r>
    <n v="265"/>
    <x v="0"/>
    <x v="13"/>
    <x v="2"/>
    <x v="2"/>
    <x v="32"/>
    <n v="9"/>
    <n v="3.5"/>
    <x v="0"/>
    <n v="37"/>
    <x v="2"/>
    <x v="1"/>
    <x v="2"/>
    <x v="2"/>
    <x v="2"/>
  </r>
  <r>
    <n v="266"/>
    <x v="1"/>
    <x v="0"/>
    <x v="3"/>
    <x v="0"/>
    <x v="33"/>
    <n v="18"/>
    <n v="4.7"/>
    <x v="1"/>
    <n v="10"/>
    <x v="0"/>
    <x v="0"/>
    <x v="0"/>
    <x v="0"/>
    <x v="3"/>
  </r>
  <r>
    <n v="267"/>
    <x v="1"/>
    <x v="14"/>
    <x v="4"/>
    <x v="1"/>
    <x v="34"/>
    <n v="12"/>
    <n v="3.9"/>
    <x v="0"/>
    <n v="47"/>
    <x v="2"/>
    <x v="1"/>
    <x v="0"/>
    <x v="1"/>
    <x v="6"/>
  </r>
  <r>
    <n v="268"/>
    <x v="0"/>
    <x v="15"/>
    <x v="5"/>
    <x v="2"/>
    <x v="35"/>
    <n v="8"/>
    <n v="3.2"/>
    <x v="1"/>
    <n v="24"/>
    <x v="1"/>
    <x v="0"/>
    <x v="3"/>
    <x v="2"/>
    <x v="0"/>
  </r>
  <r>
    <n v="269"/>
    <x v="0"/>
    <x v="10"/>
    <x v="0"/>
    <x v="0"/>
    <x v="36"/>
    <n v="14"/>
    <n v="4.4000000000000004"/>
    <x v="0"/>
    <n v="22"/>
    <x v="0"/>
    <x v="0"/>
    <x v="1"/>
    <x v="0"/>
    <x v="0"/>
  </r>
  <r>
    <n v="270"/>
    <x v="1"/>
    <x v="1"/>
    <x v="1"/>
    <x v="1"/>
    <x v="37"/>
    <n v="11"/>
    <n v="4.0999999999999996"/>
    <x v="1"/>
    <n v="17"/>
    <x v="1"/>
    <x v="0"/>
    <x v="1"/>
    <x v="1"/>
    <x v="1"/>
  </r>
  <r>
    <n v="271"/>
    <x v="0"/>
    <x v="2"/>
    <x v="2"/>
    <x v="2"/>
    <x v="38"/>
    <n v="10"/>
    <n v="3.3"/>
    <x v="0"/>
    <n v="40"/>
    <x v="2"/>
    <x v="1"/>
    <x v="2"/>
    <x v="2"/>
    <x v="2"/>
  </r>
  <r>
    <n v="272"/>
    <x v="1"/>
    <x v="3"/>
    <x v="3"/>
    <x v="0"/>
    <x v="39"/>
    <n v="20"/>
    <n v="4.8"/>
    <x v="1"/>
    <n v="12"/>
    <x v="0"/>
    <x v="0"/>
    <x v="0"/>
    <x v="0"/>
    <x v="3"/>
  </r>
  <r>
    <n v="273"/>
    <x v="1"/>
    <x v="4"/>
    <x v="4"/>
    <x v="1"/>
    <x v="40"/>
    <n v="13"/>
    <n v="4"/>
    <x v="0"/>
    <n v="53"/>
    <x v="2"/>
    <x v="1"/>
    <x v="0"/>
    <x v="1"/>
    <x v="4"/>
  </r>
  <r>
    <n v="274"/>
    <x v="0"/>
    <x v="5"/>
    <x v="5"/>
    <x v="2"/>
    <x v="23"/>
    <n v="7"/>
    <n v="3.4"/>
    <x v="1"/>
    <n v="23"/>
    <x v="1"/>
    <x v="0"/>
    <x v="3"/>
    <x v="2"/>
    <x v="0"/>
  </r>
  <r>
    <n v="275"/>
    <x v="0"/>
    <x v="6"/>
    <x v="0"/>
    <x v="0"/>
    <x v="24"/>
    <n v="15"/>
    <n v="4.5"/>
    <x v="0"/>
    <n v="27"/>
    <x v="0"/>
    <x v="0"/>
    <x v="1"/>
    <x v="0"/>
    <x v="0"/>
  </r>
  <r>
    <n v="276"/>
    <x v="1"/>
    <x v="7"/>
    <x v="1"/>
    <x v="1"/>
    <x v="43"/>
    <n v="12"/>
    <n v="4.3"/>
    <x v="1"/>
    <n v="12"/>
    <x v="1"/>
    <x v="0"/>
    <x v="1"/>
    <x v="1"/>
    <x v="3"/>
  </r>
  <r>
    <n v="277"/>
    <x v="0"/>
    <x v="8"/>
    <x v="2"/>
    <x v="2"/>
    <x v="44"/>
    <n v="9"/>
    <n v="3.6"/>
    <x v="0"/>
    <n v="38"/>
    <x v="2"/>
    <x v="1"/>
    <x v="2"/>
    <x v="2"/>
    <x v="2"/>
  </r>
  <r>
    <n v="278"/>
    <x v="1"/>
    <x v="9"/>
    <x v="3"/>
    <x v="0"/>
    <x v="45"/>
    <n v="21"/>
    <n v="4.9000000000000004"/>
    <x v="1"/>
    <n v="9"/>
    <x v="0"/>
    <x v="0"/>
    <x v="0"/>
    <x v="0"/>
    <x v="3"/>
  </r>
  <r>
    <n v="279"/>
    <x v="1"/>
    <x v="10"/>
    <x v="4"/>
    <x v="1"/>
    <x v="46"/>
    <n v="10"/>
    <n v="3.8"/>
    <x v="0"/>
    <n v="32"/>
    <x v="2"/>
    <x v="1"/>
    <x v="1"/>
    <x v="1"/>
    <x v="5"/>
  </r>
  <r>
    <n v="280"/>
    <x v="0"/>
    <x v="11"/>
    <x v="5"/>
    <x v="2"/>
    <x v="11"/>
    <n v="8"/>
    <n v="3"/>
    <x v="1"/>
    <n v="18"/>
    <x v="1"/>
    <x v="0"/>
    <x v="3"/>
    <x v="2"/>
    <x v="1"/>
  </r>
  <r>
    <n v="281"/>
    <x v="0"/>
    <x v="3"/>
    <x v="0"/>
    <x v="0"/>
    <x v="47"/>
    <n v="16"/>
    <n v="4.7"/>
    <x v="0"/>
    <n v="19"/>
    <x v="0"/>
    <x v="0"/>
    <x v="0"/>
    <x v="0"/>
    <x v="1"/>
  </r>
  <r>
    <n v="282"/>
    <x v="1"/>
    <x v="1"/>
    <x v="1"/>
    <x v="1"/>
    <x v="19"/>
    <n v="11"/>
    <n v="4"/>
    <x v="1"/>
    <n v="15"/>
    <x v="1"/>
    <x v="0"/>
    <x v="1"/>
    <x v="1"/>
    <x v="1"/>
  </r>
  <r>
    <n v="283"/>
    <x v="0"/>
    <x v="2"/>
    <x v="2"/>
    <x v="2"/>
    <x v="20"/>
    <n v="10"/>
    <n v="3.3"/>
    <x v="0"/>
    <n v="39"/>
    <x v="2"/>
    <x v="1"/>
    <x v="2"/>
    <x v="2"/>
    <x v="2"/>
  </r>
  <r>
    <n v="284"/>
    <x v="1"/>
    <x v="3"/>
    <x v="3"/>
    <x v="0"/>
    <x v="21"/>
    <n v="20"/>
    <n v="4.8"/>
    <x v="1"/>
    <n v="13"/>
    <x v="0"/>
    <x v="0"/>
    <x v="0"/>
    <x v="0"/>
    <x v="3"/>
  </r>
  <r>
    <n v="285"/>
    <x v="1"/>
    <x v="4"/>
    <x v="4"/>
    <x v="1"/>
    <x v="22"/>
    <n v="13"/>
    <n v="4.0999999999999996"/>
    <x v="0"/>
    <n v="54"/>
    <x v="2"/>
    <x v="1"/>
    <x v="0"/>
    <x v="1"/>
    <x v="4"/>
  </r>
  <r>
    <n v="286"/>
    <x v="0"/>
    <x v="5"/>
    <x v="5"/>
    <x v="2"/>
    <x v="23"/>
    <n v="7"/>
    <n v="3.4"/>
    <x v="1"/>
    <n v="23"/>
    <x v="1"/>
    <x v="0"/>
    <x v="3"/>
    <x v="2"/>
    <x v="0"/>
  </r>
  <r>
    <n v="287"/>
    <x v="0"/>
    <x v="6"/>
    <x v="0"/>
    <x v="0"/>
    <x v="42"/>
    <n v="15"/>
    <n v="4.5"/>
    <x v="0"/>
    <n v="26"/>
    <x v="0"/>
    <x v="0"/>
    <x v="1"/>
    <x v="0"/>
    <x v="0"/>
  </r>
  <r>
    <n v="288"/>
    <x v="1"/>
    <x v="7"/>
    <x v="1"/>
    <x v="1"/>
    <x v="43"/>
    <n v="12"/>
    <n v="4.3"/>
    <x v="1"/>
    <n v="13"/>
    <x v="1"/>
    <x v="0"/>
    <x v="1"/>
    <x v="1"/>
    <x v="3"/>
  </r>
  <r>
    <n v="289"/>
    <x v="0"/>
    <x v="8"/>
    <x v="2"/>
    <x v="2"/>
    <x v="26"/>
    <n v="9"/>
    <n v="3.6"/>
    <x v="0"/>
    <n v="39"/>
    <x v="2"/>
    <x v="1"/>
    <x v="2"/>
    <x v="2"/>
    <x v="2"/>
  </r>
  <r>
    <n v="290"/>
    <x v="1"/>
    <x v="9"/>
    <x v="3"/>
    <x v="0"/>
    <x v="27"/>
    <n v="21"/>
    <n v="4.9000000000000004"/>
    <x v="1"/>
    <n v="10"/>
    <x v="0"/>
    <x v="0"/>
    <x v="0"/>
    <x v="0"/>
    <x v="3"/>
  </r>
  <r>
    <n v="291"/>
    <x v="1"/>
    <x v="10"/>
    <x v="4"/>
    <x v="1"/>
    <x v="28"/>
    <n v="10"/>
    <n v="3.8"/>
    <x v="0"/>
    <n v="33"/>
    <x v="2"/>
    <x v="1"/>
    <x v="1"/>
    <x v="1"/>
    <x v="5"/>
  </r>
  <r>
    <n v="292"/>
    <x v="0"/>
    <x v="11"/>
    <x v="5"/>
    <x v="2"/>
    <x v="29"/>
    <n v="8"/>
    <n v="3.1"/>
    <x v="1"/>
    <n v="19"/>
    <x v="1"/>
    <x v="0"/>
    <x v="3"/>
    <x v="2"/>
    <x v="1"/>
  </r>
  <r>
    <n v="293"/>
    <x v="0"/>
    <x v="3"/>
    <x v="0"/>
    <x v="0"/>
    <x v="30"/>
    <n v="16"/>
    <n v="4.5"/>
    <x v="0"/>
    <n v="20"/>
    <x v="0"/>
    <x v="0"/>
    <x v="0"/>
    <x v="0"/>
    <x v="1"/>
  </r>
  <r>
    <n v="294"/>
    <x v="1"/>
    <x v="12"/>
    <x v="1"/>
    <x v="1"/>
    <x v="31"/>
    <n v="13"/>
    <n v="4.2"/>
    <x v="1"/>
    <n v="14"/>
    <x v="0"/>
    <x v="0"/>
    <x v="1"/>
    <x v="1"/>
    <x v="3"/>
  </r>
  <r>
    <n v="295"/>
    <x v="0"/>
    <x v="13"/>
    <x v="2"/>
    <x v="2"/>
    <x v="32"/>
    <n v="9"/>
    <n v="3.5"/>
    <x v="0"/>
    <n v="37"/>
    <x v="2"/>
    <x v="1"/>
    <x v="2"/>
    <x v="2"/>
    <x v="2"/>
  </r>
  <r>
    <n v="296"/>
    <x v="1"/>
    <x v="0"/>
    <x v="3"/>
    <x v="0"/>
    <x v="33"/>
    <n v="18"/>
    <n v="4.7"/>
    <x v="1"/>
    <n v="10"/>
    <x v="0"/>
    <x v="0"/>
    <x v="0"/>
    <x v="0"/>
    <x v="3"/>
  </r>
  <r>
    <n v="297"/>
    <x v="1"/>
    <x v="14"/>
    <x v="4"/>
    <x v="1"/>
    <x v="34"/>
    <n v="12"/>
    <n v="3.9"/>
    <x v="0"/>
    <n v="47"/>
    <x v="2"/>
    <x v="1"/>
    <x v="0"/>
    <x v="1"/>
    <x v="6"/>
  </r>
  <r>
    <n v="298"/>
    <x v="0"/>
    <x v="15"/>
    <x v="5"/>
    <x v="2"/>
    <x v="35"/>
    <n v="8"/>
    <n v="3.2"/>
    <x v="1"/>
    <n v="24"/>
    <x v="1"/>
    <x v="0"/>
    <x v="3"/>
    <x v="2"/>
    <x v="0"/>
  </r>
  <r>
    <n v="299"/>
    <x v="0"/>
    <x v="10"/>
    <x v="0"/>
    <x v="0"/>
    <x v="36"/>
    <n v="14"/>
    <n v="4.4000000000000004"/>
    <x v="0"/>
    <n v="22"/>
    <x v="0"/>
    <x v="0"/>
    <x v="1"/>
    <x v="0"/>
    <x v="0"/>
  </r>
  <r>
    <n v="300"/>
    <x v="1"/>
    <x v="1"/>
    <x v="1"/>
    <x v="1"/>
    <x v="37"/>
    <n v="11"/>
    <n v="4.0999999999999996"/>
    <x v="1"/>
    <n v="17"/>
    <x v="1"/>
    <x v="0"/>
    <x v="1"/>
    <x v="1"/>
    <x v="1"/>
  </r>
  <r>
    <n v="301"/>
    <x v="1"/>
    <x v="11"/>
    <x v="3"/>
    <x v="0"/>
    <x v="48"/>
    <n v="19"/>
    <n v="4.5999999999999996"/>
    <x v="1"/>
    <n v="11"/>
    <x v="0"/>
    <x v="0"/>
    <x v="3"/>
    <x v="0"/>
    <x v="3"/>
  </r>
  <r>
    <n v="302"/>
    <x v="0"/>
    <x v="0"/>
    <x v="4"/>
    <x v="1"/>
    <x v="49"/>
    <n v="14"/>
    <n v="4"/>
    <x v="0"/>
    <n v="50"/>
    <x v="2"/>
    <x v="1"/>
    <x v="0"/>
    <x v="1"/>
    <x v="4"/>
  </r>
  <r>
    <n v="303"/>
    <x v="0"/>
    <x v="7"/>
    <x v="5"/>
    <x v="2"/>
    <x v="50"/>
    <n v="7"/>
    <n v="3.3"/>
    <x v="1"/>
    <n v="21"/>
    <x v="1"/>
    <x v="0"/>
    <x v="1"/>
    <x v="2"/>
    <x v="1"/>
  </r>
  <r>
    <n v="304"/>
    <x v="1"/>
    <x v="6"/>
    <x v="0"/>
    <x v="0"/>
    <x v="51"/>
    <n v="17"/>
    <n v="4.8"/>
    <x v="0"/>
    <n v="18"/>
    <x v="0"/>
    <x v="0"/>
    <x v="1"/>
    <x v="0"/>
    <x v="1"/>
  </r>
  <r>
    <n v="305"/>
    <x v="1"/>
    <x v="4"/>
    <x v="1"/>
    <x v="1"/>
    <x v="52"/>
    <n v="11"/>
    <n v="4.2"/>
    <x v="1"/>
    <n v="16"/>
    <x v="1"/>
    <x v="0"/>
    <x v="0"/>
    <x v="1"/>
    <x v="1"/>
  </r>
  <r>
    <n v="306"/>
    <x v="0"/>
    <x v="13"/>
    <x v="2"/>
    <x v="2"/>
    <x v="8"/>
    <n v="10"/>
    <n v="3.5"/>
    <x v="0"/>
    <n v="35"/>
    <x v="2"/>
    <x v="1"/>
    <x v="2"/>
    <x v="2"/>
    <x v="5"/>
  </r>
  <r>
    <n v="307"/>
    <x v="1"/>
    <x v="0"/>
    <x v="3"/>
    <x v="0"/>
    <x v="53"/>
    <n v="18"/>
    <n v="4.7"/>
    <x v="1"/>
    <n v="9"/>
    <x v="0"/>
    <x v="0"/>
    <x v="0"/>
    <x v="0"/>
    <x v="3"/>
  </r>
  <r>
    <n v="308"/>
    <x v="1"/>
    <x v="14"/>
    <x v="4"/>
    <x v="1"/>
    <x v="54"/>
    <n v="12"/>
    <n v="3.9"/>
    <x v="0"/>
    <n v="46"/>
    <x v="2"/>
    <x v="1"/>
    <x v="0"/>
    <x v="1"/>
    <x v="6"/>
  </r>
  <r>
    <n v="309"/>
    <x v="0"/>
    <x v="15"/>
    <x v="5"/>
    <x v="2"/>
    <x v="55"/>
    <n v="8"/>
    <n v="3.2"/>
    <x v="1"/>
    <n v="25"/>
    <x v="1"/>
    <x v="0"/>
    <x v="3"/>
    <x v="2"/>
    <x v="0"/>
  </r>
  <r>
    <n v="310"/>
    <x v="0"/>
    <x v="10"/>
    <x v="0"/>
    <x v="0"/>
    <x v="18"/>
    <n v="14"/>
    <n v="4.5"/>
    <x v="0"/>
    <n v="21"/>
    <x v="0"/>
    <x v="0"/>
    <x v="1"/>
    <x v="0"/>
    <x v="1"/>
  </r>
  <r>
    <n v="311"/>
    <x v="1"/>
    <x v="1"/>
    <x v="1"/>
    <x v="1"/>
    <x v="56"/>
    <n v="11"/>
    <n v="4"/>
    <x v="1"/>
    <n v="14"/>
    <x v="1"/>
    <x v="0"/>
    <x v="1"/>
    <x v="1"/>
    <x v="3"/>
  </r>
  <r>
    <n v="312"/>
    <x v="0"/>
    <x v="2"/>
    <x v="2"/>
    <x v="2"/>
    <x v="57"/>
    <n v="9"/>
    <n v="3.3"/>
    <x v="0"/>
    <n v="38"/>
    <x v="2"/>
    <x v="1"/>
    <x v="2"/>
    <x v="2"/>
    <x v="2"/>
  </r>
  <r>
    <n v="313"/>
    <x v="1"/>
    <x v="3"/>
    <x v="3"/>
    <x v="0"/>
    <x v="58"/>
    <n v="20"/>
    <n v="4.8"/>
    <x v="1"/>
    <n v="12"/>
    <x v="0"/>
    <x v="0"/>
    <x v="0"/>
    <x v="0"/>
    <x v="3"/>
  </r>
  <r>
    <n v="314"/>
    <x v="1"/>
    <x v="4"/>
    <x v="4"/>
    <x v="1"/>
    <x v="59"/>
    <n v="13"/>
    <n v="4.0999999999999996"/>
    <x v="0"/>
    <n v="52"/>
    <x v="2"/>
    <x v="1"/>
    <x v="0"/>
    <x v="1"/>
    <x v="4"/>
  </r>
  <r>
    <n v="315"/>
    <x v="0"/>
    <x v="5"/>
    <x v="5"/>
    <x v="2"/>
    <x v="41"/>
    <n v="7"/>
    <n v="3.4"/>
    <x v="1"/>
    <n v="24"/>
    <x v="1"/>
    <x v="0"/>
    <x v="3"/>
    <x v="2"/>
    <x v="0"/>
  </r>
  <r>
    <n v="316"/>
    <x v="0"/>
    <x v="6"/>
    <x v="0"/>
    <x v="0"/>
    <x v="42"/>
    <n v="15"/>
    <n v="4.5"/>
    <x v="0"/>
    <n v="26"/>
    <x v="0"/>
    <x v="0"/>
    <x v="1"/>
    <x v="0"/>
    <x v="0"/>
  </r>
  <r>
    <n v="317"/>
    <x v="1"/>
    <x v="7"/>
    <x v="1"/>
    <x v="1"/>
    <x v="43"/>
    <n v="12"/>
    <n v="4.3"/>
    <x v="1"/>
    <n v="13"/>
    <x v="1"/>
    <x v="0"/>
    <x v="1"/>
    <x v="1"/>
    <x v="3"/>
  </r>
  <r>
    <n v="318"/>
    <x v="0"/>
    <x v="8"/>
    <x v="2"/>
    <x v="2"/>
    <x v="44"/>
    <n v="9"/>
    <n v="3.6"/>
    <x v="0"/>
    <n v="39"/>
    <x v="2"/>
    <x v="1"/>
    <x v="2"/>
    <x v="2"/>
    <x v="2"/>
  </r>
  <r>
    <n v="319"/>
    <x v="1"/>
    <x v="9"/>
    <x v="3"/>
    <x v="0"/>
    <x v="45"/>
    <n v="21"/>
    <n v="4.9000000000000004"/>
    <x v="1"/>
    <n v="9"/>
    <x v="0"/>
    <x v="0"/>
    <x v="0"/>
    <x v="0"/>
    <x v="3"/>
  </r>
  <r>
    <n v="320"/>
    <x v="1"/>
    <x v="10"/>
    <x v="4"/>
    <x v="1"/>
    <x v="46"/>
    <n v="10"/>
    <n v="3.8"/>
    <x v="0"/>
    <n v="32"/>
    <x v="2"/>
    <x v="1"/>
    <x v="1"/>
    <x v="1"/>
    <x v="5"/>
  </r>
  <r>
    <n v="321"/>
    <x v="0"/>
    <x v="11"/>
    <x v="5"/>
    <x v="2"/>
    <x v="11"/>
    <n v="8"/>
    <n v="3"/>
    <x v="1"/>
    <n v="18"/>
    <x v="1"/>
    <x v="0"/>
    <x v="3"/>
    <x v="2"/>
    <x v="1"/>
  </r>
  <r>
    <n v="322"/>
    <x v="0"/>
    <x v="3"/>
    <x v="0"/>
    <x v="0"/>
    <x v="47"/>
    <n v="16"/>
    <n v="4.7"/>
    <x v="0"/>
    <n v="19"/>
    <x v="0"/>
    <x v="0"/>
    <x v="0"/>
    <x v="0"/>
    <x v="1"/>
  </r>
  <r>
    <n v="323"/>
    <x v="1"/>
    <x v="1"/>
    <x v="1"/>
    <x v="1"/>
    <x v="19"/>
    <n v="11"/>
    <n v="4"/>
    <x v="1"/>
    <n v="15"/>
    <x v="1"/>
    <x v="0"/>
    <x v="1"/>
    <x v="1"/>
    <x v="1"/>
  </r>
  <r>
    <n v="324"/>
    <x v="0"/>
    <x v="2"/>
    <x v="2"/>
    <x v="2"/>
    <x v="20"/>
    <n v="10"/>
    <n v="3.3"/>
    <x v="0"/>
    <n v="39"/>
    <x v="2"/>
    <x v="1"/>
    <x v="2"/>
    <x v="2"/>
    <x v="2"/>
  </r>
  <r>
    <n v="325"/>
    <x v="1"/>
    <x v="3"/>
    <x v="3"/>
    <x v="0"/>
    <x v="21"/>
    <n v="20"/>
    <n v="4.8"/>
    <x v="1"/>
    <n v="13"/>
    <x v="0"/>
    <x v="0"/>
    <x v="0"/>
    <x v="0"/>
    <x v="3"/>
  </r>
  <r>
    <n v="326"/>
    <x v="1"/>
    <x v="4"/>
    <x v="4"/>
    <x v="1"/>
    <x v="22"/>
    <n v="13"/>
    <n v="4.0999999999999996"/>
    <x v="0"/>
    <n v="54"/>
    <x v="2"/>
    <x v="1"/>
    <x v="0"/>
    <x v="1"/>
    <x v="4"/>
  </r>
  <r>
    <n v="327"/>
    <x v="0"/>
    <x v="5"/>
    <x v="5"/>
    <x v="2"/>
    <x v="23"/>
    <n v="7"/>
    <n v="3.4"/>
    <x v="1"/>
    <n v="23"/>
    <x v="1"/>
    <x v="0"/>
    <x v="3"/>
    <x v="2"/>
    <x v="0"/>
  </r>
  <r>
    <n v="328"/>
    <x v="0"/>
    <x v="6"/>
    <x v="0"/>
    <x v="0"/>
    <x v="24"/>
    <n v="15"/>
    <n v="4.5"/>
    <x v="0"/>
    <n v="27"/>
    <x v="0"/>
    <x v="0"/>
    <x v="1"/>
    <x v="0"/>
    <x v="0"/>
  </r>
  <r>
    <n v="329"/>
    <x v="1"/>
    <x v="7"/>
    <x v="1"/>
    <x v="1"/>
    <x v="43"/>
    <n v="12"/>
    <n v="4.3"/>
    <x v="1"/>
    <n v="13"/>
    <x v="1"/>
    <x v="0"/>
    <x v="1"/>
    <x v="1"/>
    <x v="3"/>
  </r>
  <r>
    <n v="330"/>
    <x v="0"/>
    <x v="8"/>
    <x v="2"/>
    <x v="2"/>
    <x v="26"/>
    <n v="9"/>
    <n v="3.6"/>
    <x v="0"/>
    <n v="39"/>
    <x v="2"/>
    <x v="1"/>
    <x v="2"/>
    <x v="2"/>
    <x v="2"/>
  </r>
  <r>
    <n v="331"/>
    <x v="1"/>
    <x v="9"/>
    <x v="3"/>
    <x v="0"/>
    <x v="27"/>
    <n v="21"/>
    <n v="4.9000000000000004"/>
    <x v="1"/>
    <n v="10"/>
    <x v="0"/>
    <x v="0"/>
    <x v="0"/>
    <x v="0"/>
    <x v="3"/>
  </r>
  <r>
    <n v="332"/>
    <x v="1"/>
    <x v="10"/>
    <x v="4"/>
    <x v="1"/>
    <x v="28"/>
    <n v="10"/>
    <n v="3.8"/>
    <x v="0"/>
    <n v="33"/>
    <x v="2"/>
    <x v="1"/>
    <x v="1"/>
    <x v="1"/>
    <x v="5"/>
  </r>
  <r>
    <n v="333"/>
    <x v="0"/>
    <x v="11"/>
    <x v="5"/>
    <x v="2"/>
    <x v="29"/>
    <n v="8"/>
    <n v="3.1"/>
    <x v="1"/>
    <n v="19"/>
    <x v="1"/>
    <x v="0"/>
    <x v="3"/>
    <x v="2"/>
    <x v="1"/>
  </r>
  <r>
    <n v="334"/>
    <x v="0"/>
    <x v="3"/>
    <x v="0"/>
    <x v="0"/>
    <x v="30"/>
    <n v="16"/>
    <n v="4.5"/>
    <x v="0"/>
    <n v="20"/>
    <x v="0"/>
    <x v="0"/>
    <x v="0"/>
    <x v="0"/>
    <x v="1"/>
  </r>
  <r>
    <n v="335"/>
    <x v="1"/>
    <x v="12"/>
    <x v="1"/>
    <x v="1"/>
    <x v="31"/>
    <n v="13"/>
    <n v="4.2"/>
    <x v="1"/>
    <n v="14"/>
    <x v="0"/>
    <x v="0"/>
    <x v="1"/>
    <x v="1"/>
    <x v="3"/>
  </r>
  <r>
    <n v="336"/>
    <x v="0"/>
    <x v="13"/>
    <x v="2"/>
    <x v="2"/>
    <x v="32"/>
    <n v="9"/>
    <n v="3.5"/>
    <x v="0"/>
    <n v="37"/>
    <x v="2"/>
    <x v="1"/>
    <x v="2"/>
    <x v="2"/>
    <x v="2"/>
  </r>
  <r>
    <n v="337"/>
    <x v="1"/>
    <x v="0"/>
    <x v="3"/>
    <x v="0"/>
    <x v="33"/>
    <n v="18"/>
    <n v="4.7"/>
    <x v="1"/>
    <n v="10"/>
    <x v="0"/>
    <x v="0"/>
    <x v="0"/>
    <x v="0"/>
    <x v="3"/>
  </r>
  <r>
    <n v="338"/>
    <x v="1"/>
    <x v="14"/>
    <x v="4"/>
    <x v="1"/>
    <x v="34"/>
    <n v="12"/>
    <n v="3.9"/>
    <x v="0"/>
    <n v="47"/>
    <x v="2"/>
    <x v="1"/>
    <x v="0"/>
    <x v="1"/>
    <x v="6"/>
  </r>
  <r>
    <n v="339"/>
    <x v="0"/>
    <x v="15"/>
    <x v="5"/>
    <x v="2"/>
    <x v="35"/>
    <n v="8"/>
    <n v="3.2"/>
    <x v="1"/>
    <n v="24"/>
    <x v="1"/>
    <x v="0"/>
    <x v="3"/>
    <x v="2"/>
    <x v="0"/>
  </r>
  <r>
    <n v="340"/>
    <x v="0"/>
    <x v="10"/>
    <x v="0"/>
    <x v="0"/>
    <x v="36"/>
    <n v="14"/>
    <n v="4.4000000000000004"/>
    <x v="0"/>
    <n v="22"/>
    <x v="0"/>
    <x v="0"/>
    <x v="1"/>
    <x v="0"/>
    <x v="0"/>
  </r>
  <r>
    <n v="341"/>
    <x v="1"/>
    <x v="1"/>
    <x v="1"/>
    <x v="1"/>
    <x v="37"/>
    <n v="11"/>
    <n v="4.0999999999999996"/>
    <x v="1"/>
    <n v="17"/>
    <x v="1"/>
    <x v="0"/>
    <x v="1"/>
    <x v="1"/>
    <x v="1"/>
  </r>
  <r>
    <n v="342"/>
    <x v="0"/>
    <x v="2"/>
    <x v="2"/>
    <x v="2"/>
    <x v="60"/>
    <n v="9"/>
    <n v="3.3"/>
    <x v="0"/>
    <n v="40"/>
    <x v="2"/>
    <x v="1"/>
    <x v="2"/>
    <x v="2"/>
    <x v="2"/>
  </r>
  <r>
    <n v="343"/>
    <x v="1"/>
    <x v="3"/>
    <x v="3"/>
    <x v="0"/>
    <x v="39"/>
    <n v="20"/>
    <n v="4.8"/>
    <x v="1"/>
    <n v="11"/>
    <x v="0"/>
    <x v="0"/>
    <x v="0"/>
    <x v="0"/>
    <x v="3"/>
  </r>
  <r>
    <n v="344"/>
    <x v="1"/>
    <x v="4"/>
    <x v="4"/>
    <x v="1"/>
    <x v="4"/>
    <n v="13"/>
    <n v="4"/>
    <x v="0"/>
    <n v="55"/>
    <x v="2"/>
    <x v="1"/>
    <x v="0"/>
    <x v="1"/>
    <x v="4"/>
  </r>
  <r>
    <n v="345"/>
    <x v="0"/>
    <x v="5"/>
    <x v="5"/>
    <x v="2"/>
    <x v="5"/>
    <n v="7"/>
    <n v="3.2"/>
    <x v="1"/>
    <n v="25"/>
    <x v="1"/>
    <x v="0"/>
    <x v="3"/>
    <x v="2"/>
    <x v="0"/>
  </r>
  <r>
    <n v="346"/>
    <x v="0"/>
    <x v="6"/>
    <x v="0"/>
    <x v="0"/>
    <x v="6"/>
    <n v="15"/>
    <n v="4.5"/>
    <x v="0"/>
    <n v="28"/>
    <x v="0"/>
    <x v="0"/>
    <x v="1"/>
    <x v="0"/>
    <x v="0"/>
  </r>
  <r>
    <n v="347"/>
    <x v="1"/>
    <x v="7"/>
    <x v="1"/>
    <x v="1"/>
    <x v="61"/>
    <n v="12"/>
    <n v="4.3"/>
    <x v="1"/>
    <n v="14"/>
    <x v="1"/>
    <x v="0"/>
    <x v="1"/>
    <x v="1"/>
    <x v="3"/>
  </r>
  <r>
    <n v="348"/>
    <x v="0"/>
    <x v="8"/>
    <x v="2"/>
    <x v="2"/>
    <x v="62"/>
    <n v="9"/>
    <n v="3.6"/>
    <x v="0"/>
    <n v="40"/>
    <x v="2"/>
    <x v="1"/>
    <x v="2"/>
    <x v="2"/>
    <x v="2"/>
  </r>
  <r>
    <n v="349"/>
    <x v="1"/>
    <x v="9"/>
    <x v="3"/>
    <x v="0"/>
    <x v="63"/>
    <n v="21"/>
    <n v="4.9000000000000004"/>
    <x v="1"/>
    <n v="10"/>
    <x v="0"/>
    <x v="0"/>
    <x v="0"/>
    <x v="0"/>
    <x v="3"/>
  </r>
  <r>
    <n v="350"/>
    <x v="1"/>
    <x v="10"/>
    <x v="4"/>
    <x v="1"/>
    <x v="10"/>
    <n v="10"/>
    <n v="3.8"/>
    <x v="0"/>
    <n v="34"/>
    <x v="2"/>
    <x v="1"/>
    <x v="1"/>
    <x v="1"/>
    <x v="5"/>
  </r>
  <r>
    <n v="351"/>
    <x v="0"/>
    <x v="11"/>
    <x v="5"/>
    <x v="2"/>
    <x v="64"/>
    <n v="8"/>
    <n v="3.1"/>
    <x v="1"/>
    <n v="20"/>
    <x v="1"/>
    <x v="0"/>
    <x v="3"/>
    <x v="2"/>
    <x v="1"/>
  </r>
  <r>
    <n v="352"/>
    <x v="0"/>
    <x v="3"/>
    <x v="0"/>
    <x v="0"/>
    <x v="65"/>
    <n v="16"/>
    <n v="4.7"/>
    <x v="0"/>
    <n v="21"/>
    <x v="0"/>
    <x v="0"/>
    <x v="0"/>
    <x v="0"/>
    <x v="1"/>
  </r>
  <r>
    <n v="353"/>
    <x v="1"/>
    <x v="1"/>
    <x v="1"/>
    <x v="1"/>
    <x v="19"/>
    <n v="11"/>
    <n v="4"/>
    <x v="1"/>
    <n v="15"/>
    <x v="1"/>
    <x v="0"/>
    <x v="1"/>
    <x v="1"/>
    <x v="1"/>
  </r>
  <r>
    <n v="354"/>
    <x v="0"/>
    <x v="2"/>
    <x v="2"/>
    <x v="2"/>
    <x v="2"/>
    <n v="10"/>
    <n v="3.3"/>
    <x v="0"/>
    <n v="41"/>
    <x v="2"/>
    <x v="1"/>
    <x v="2"/>
    <x v="2"/>
    <x v="2"/>
  </r>
  <r>
    <n v="355"/>
    <x v="1"/>
    <x v="3"/>
    <x v="3"/>
    <x v="0"/>
    <x v="66"/>
    <n v="19"/>
    <n v="4.5999999999999996"/>
    <x v="1"/>
    <n v="12"/>
    <x v="0"/>
    <x v="0"/>
    <x v="0"/>
    <x v="0"/>
    <x v="3"/>
  </r>
  <r>
    <n v="356"/>
    <x v="1"/>
    <x v="4"/>
    <x v="4"/>
    <x v="1"/>
    <x v="40"/>
    <n v="13"/>
    <n v="4.0999999999999996"/>
    <x v="0"/>
    <n v="56"/>
    <x v="2"/>
    <x v="1"/>
    <x v="0"/>
    <x v="1"/>
    <x v="4"/>
  </r>
  <r>
    <n v="357"/>
    <x v="0"/>
    <x v="5"/>
    <x v="5"/>
    <x v="2"/>
    <x v="67"/>
    <n v="7"/>
    <n v="3.4"/>
    <x v="1"/>
    <n v="26"/>
    <x v="1"/>
    <x v="0"/>
    <x v="3"/>
    <x v="2"/>
    <x v="0"/>
  </r>
  <r>
    <n v="358"/>
    <x v="0"/>
    <x v="6"/>
    <x v="0"/>
    <x v="0"/>
    <x v="68"/>
    <n v="15"/>
    <n v="4.5"/>
    <x v="0"/>
    <n v="29"/>
    <x v="0"/>
    <x v="0"/>
    <x v="1"/>
    <x v="0"/>
    <x v="5"/>
  </r>
  <r>
    <n v="359"/>
    <x v="1"/>
    <x v="7"/>
    <x v="1"/>
    <x v="1"/>
    <x v="25"/>
    <n v="12"/>
    <n v="4.3"/>
    <x v="1"/>
    <n v="14"/>
    <x v="1"/>
    <x v="0"/>
    <x v="1"/>
    <x v="1"/>
    <x v="3"/>
  </r>
  <r>
    <n v="360"/>
    <x v="0"/>
    <x v="8"/>
    <x v="2"/>
    <x v="2"/>
    <x v="8"/>
    <n v="9"/>
    <n v="3.6"/>
    <x v="0"/>
    <n v="41"/>
    <x v="2"/>
    <x v="1"/>
    <x v="2"/>
    <x v="2"/>
    <x v="2"/>
  </r>
  <r>
    <n v="361"/>
    <x v="1"/>
    <x v="9"/>
    <x v="3"/>
    <x v="0"/>
    <x v="45"/>
    <n v="21"/>
    <n v="4.9000000000000004"/>
    <x v="1"/>
    <n v="10"/>
    <x v="0"/>
    <x v="0"/>
    <x v="0"/>
    <x v="0"/>
    <x v="3"/>
  </r>
  <r>
    <n v="362"/>
    <x v="1"/>
    <x v="10"/>
    <x v="4"/>
    <x v="1"/>
    <x v="69"/>
    <n v="10"/>
    <n v="3.8"/>
    <x v="0"/>
    <n v="35"/>
    <x v="2"/>
    <x v="1"/>
    <x v="1"/>
    <x v="1"/>
    <x v="5"/>
  </r>
  <r>
    <n v="363"/>
    <x v="0"/>
    <x v="11"/>
    <x v="5"/>
    <x v="2"/>
    <x v="70"/>
    <n v="8"/>
    <n v="3.1"/>
    <x v="1"/>
    <n v="21"/>
    <x v="1"/>
    <x v="0"/>
    <x v="3"/>
    <x v="2"/>
    <x v="1"/>
  </r>
  <r>
    <n v="364"/>
    <x v="0"/>
    <x v="3"/>
    <x v="0"/>
    <x v="0"/>
    <x v="12"/>
    <n v="16"/>
    <n v="4.7"/>
    <x v="0"/>
    <n v="22"/>
    <x v="0"/>
    <x v="0"/>
    <x v="0"/>
    <x v="0"/>
    <x v="0"/>
  </r>
  <r>
    <n v="365"/>
    <x v="1"/>
    <x v="1"/>
    <x v="1"/>
    <x v="1"/>
    <x v="71"/>
    <n v="11"/>
    <n v="4.0999999999999996"/>
    <x v="1"/>
    <n v="16"/>
    <x v="1"/>
    <x v="0"/>
    <x v="1"/>
    <x v="1"/>
    <x v="1"/>
  </r>
  <r>
    <n v="366"/>
    <x v="0"/>
    <x v="2"/>
    <x v="2"/>
    <x v="2"/>
    <x v="20"/>
    <n v="10"/>
    <n v="3.3"/>
    <x v="0"/>
    <n v="42"/>
    <x v="2"/>
    <x v="1"/>
    <x v="2"/>
    <x v="2"/>
    <x v="2"/>
  </r>
  <r>
    <n v="367"/>
    <x v="1"/>
    <x v="3"/>
    <x v="3"/>
    <x v="0"/>
    <x v="39"/>
    <n v="20"/>
    <n v="4.8"/>
    <x v="1"/>
    <n v="13"/>
    <x v="0"/>
    <x v="0"/>
    <x v="0"/>
    <x v="0"/>
    <x v="3"/>
  </r>
  <r>
    <n v="368"/>
    <x v="1"/>
    <x v="4"/>
    <x v="4"/>
    <x v="1"/>
    <x v="22"/>
    <n v="13"/>
    <n v="4.0999999999999996"/>
    <x v="0"/>
    <n v="57"/>
    <x v="2"/>
    <x v="1"/>
    <x v="0"/>
    <x v="1"/>
    <x v="7"/>
  </r>
  <r>
    <n v="369"/>
    <x v="0"/>
    <x v="5"/>
    <x v="5"/>
    <x v="2"/>
    <x v="72"/>
    <n v="7"/>
    <n v="3.4"/>
    <x v="1"/>
    <n v="24"/>
    <x v="1"/>
    <x v="0"/>
    <x v="3"/>
    <x v="2"/>
    <x v="0"/>
  </r>
  <r>
    <n v="370"/>
    <x v="0"/>
    <x v="6"/>
    <x v="0"/>
    <x v="0"/>
    <x v="24"/>
    <n v="15"/>
    <n v="4.5"/>
    <x v="0"/>
    <n v="30"/>
    <x v="0"/>
    <x v="0"/>
    <x v="1"/>
    <x v="0"/>
    <x v="5"/>
  </r>
  <r>
    <n v="371"/>
    <x v="1"/>
    <x v="7"/>
    <x v="1"/>
    <x v="1"/>
    <x v="7"/>
    <n v="12"/>
    <n v="4.0999999999999996"/>
    <x v="1"/>
    <n v="17"/>
    <x v="1"/>
    <x v="0"/>
    <x v="1"/>
    <x v="1"/>
    <x v="1"/>
  </r>
  <r>
    <n v="372"/>
    <x v="0"/>
    <x v="8"/>
    <x v="2"/>
    <x v="2"/>
    <x v="73"/>
    <n v="9"/>
    <n v="3.6"/>
    <x v="0"/>
    <n v="42"/>
    <x v="2"/>
    <x v="1"/>
    <x v="2"/>
    <x v="2"/>
    <x v="2"/>
  </r>
  <r>
    <n v="373"/>
    <x v="1"/>
    <x v="9"/>
    <x v="3"/>
    <x v="0"/>
    <x v="63"/>
    <n v="21"/>
    <n v="4.9000000000000004"/>
    <x v="1"/>
    <n v="11"/>
    <x v="0"/>
    <x v="0"/>
    <x v="0"/>
    <x v="0"/>
    <x v="3"/>
  </r>
  <r>
    <n v="374"/>
    <x v="1"/>
    <x v="10"/>
    <x v="4"/>
    <x v="1"/>
    <x v="69"/>
    <n v="10"/>
    <n v="3.8"/>
    <x v="0"/>
    <n v="36"/>
    <x v="2"/>
    <x v="1"/>
    <x v="1"/>
    <x v="1"/>
    <x v="2"/>
  </r>
  <r>
    <n v="375"/>
    <x v="0"/>
    <x v="11"/>
    <x v="5"/>
    <x v="2"/>
    <x v="11"/>
    <n v="8"/>
    <n v="3"/>
    <x v="1"/>
    <n v="22"/>
    <x v="1"/>
    <x v="0"/>
    <x v="3"/>
    <x v="2"/>
    <x v="0"/>
  </r>
  <r>
    <n v="376"/>
    <x v="0"/>
    <x v="3"/>
    <x v="0"/>
    <x v="0"/>
    <x v="30"/>
    <n v="16"/>
    <n v="4.5"/>
    <x v="0"/>
    <n v="23"/>
    <x v="0"/>
    <x v="0"/>
    <x v="0"/>
    <x v="0"/>
    <x v="0"/>
  </r>
  <r>
    <n v="377"/>
    <x v="1"/>
    <x v="12"/>
    <x v="1"/>
    <x v="1"/>
    <x v="74"/>
    <n v="11"/>
    <n v="4.2"/>
    <x v="1"/>
    <n v="18"/>
    <x v="1"/>
    <x v="0"/>
    <x v="1"/>
    <x v="1"/>
    <x v="1"/>
  </r>
  <r>
    <n v="378"/>
    <x v="0"/>
    <x v="2"/>
    <x v="2"/>
    <x v="2"/>
    <x v="57"/>
    <n v="10"/>
    <n v="3.3"/>
    <x v="0"/>
    <n v="43"/>
    <x v="2"/>
    <x v="1"/>
    <x v="2"/>
    <x v="2"/>
    <x v="6"/>
  </r>
  <r>
    <n v="379"/>
    <x v="1"/>
    <x v="3"/>
    <x v="3"/>
    <x v="0"/>
    <x v="58"/>
    <n v="19"/>
    <n v="4.5999999999999996"/>
    <x v="1"/>
    <n v="12"/>
    <x v="0"/>
    <x v="0"/>
    <x v="0"/>
    <x v="0"/>
    <x v="3"/>
  </r>
  <r>
    <n v="380"/>
    <x v="1"/>
    <x v="4"/>
    <x v="4"/>
    <x v="1"/>
    <x v="22"/>
    <n v="13"/>
    <n v="4.0999999999999996"/>
    <x v="0"/>
    <n v="58"/>
    <x v="2"/>
    <x v="1"/>
    <x v="0"/>
    <x v="1"/>
    <x v="7"/>
  </r>
  <r>
    <n v="381"/>
    <x v="0"/>
    <x v="5"/>
    <x v="5"/>
    <x v="2"/>
    <x v="23"/>
    <n v="7"/>
    <n v="3.4"/>
    <x v="1"/>
    <n v="27"/>
    <x v="1"/>
    <x v="0"/>
    <x v="3"/>
    <x v="2"/>
    <x v="0"/>
  </r>
  <r>
    <n v="382"/>
    <x v="0"/>
    <x v="6"/>
    <x v="0"/>
    <x v="0"/>
    <x v="68"/>
    <n v="15"/>
    <n v="4.5"/>
    <x v="0"/>
    <n v="31"/>
    <x v="0"/>
    <x v="0"/>
    <x v="1"/>
    <x v="0"/>
    <x v="5"/>
  </r>
  <r>
    <n v="383"/>
    <x v="1"/>
    <x v="7"/>
    <x v="1"/>
    <x v="1"/>
    <x v="43"/>
    <n v="12"/>
    <n v="4.3"/>
    <x v="1"/>
    <n v="15"/>
    <x v="1"/>
    <x v="0"/>
    <x v="1"/>
    <x v="1"/>
    <x v="1"/>
  </r>
  <r>
    <n v="384"/>
    <x v="0"/>
    <x v="8"/>
    <x v="2"/>
    <x v="2"/>
    <x v="8"/>
    <n v="9"/>
    <n v="3.6"/>
    <x v="0"/>
    <n v="43"/>
    <x v="2"/>
    <x v="1"/>
    <x v="2"/>
    <x v="2"/>
    <x v="6"/>
  </r>
  <r>
    <n v="385"/>
    <x v="1"/>
    <x v="9"/>
    <x v="3"/>
    <x v="0"/>
    <x v="45"/>
    <n v="21"/>
    <n v="4.9000000000000004"/>
    <x v="1"/>
    <n v="10"/>
    <x v="0"/>
    <x v="0"/>
    <x v="0"/>
    <x v="0"/>
    <x v="3"/>
  </r>
  <r>
    <n v="386"/>
    <x v="1"/>
    <x v="10"/>
    <x v="4"/>
    <x v="1"/>
    <x v="69"/>
    <n v="10"/>
    <n v="3.8"/>
    <x v="0"/>
    <n v="37"/>
    <x v="2"/>
    <x v="1"/>
    <x v="1"/>
    <x v="1"/>
    <x v="2"/>
  </r>
  <r>
    <n v="387"/>
    <x v="0"/>
    <x v="11"/>
    <x v="5"/>
    <x v="2"/>
    <x v="75"/>
    <n v="8"/>
    <n v="3.1"/>
    <x v="1"/>
    <n v="23"/>
    <x v="1"/>
    <x v="0"/>
    <x v="3"/>
    <x v="2"/>
    <x v="0"/>
  </r>
  <r>
    <n v="388"/>
    <x v="0"/>
    <x v="3"/>
    <x v="0"/>
    <x v="0"/>
    <x v="12"/>
    <n v="16"/>
    <n v="4.7"/>
    <x v="0"/>
    <n v="24"/>
    <x v="0"/>
    <x v="0"/>
    <x v="0"/>
    <x v="0"/>
    <x v="0"/>
  </r>
  <r>
    <n v="389"/>
    <x v="1"/>
    <x v="1"/>
    <x v="1"/>
    <x v="1"/>
    <x v="71"/>
    <n v="11"/>
    <n v="4.0999999999999996"/>
    <x v="1"/>
    <n v="16"/>
    <x v="1"/>
    <x v="0"/>
    <x v="1"/>
    <x v="1"/>
    <x v="1"/>
  </r>
  <r>
    <n v="390"/>
    <x v="0"/>
    <x v="2"/>
    <x v="2"/>
    <x v="2"/>
    <x v="20"/>
    <n v="10"/>
    <n v="3.3"/>
    <x v="0"/>
    <n v="44"/>
    <x v="2"/>
    <x v="1"/>
    <x v="2"/>
    <x v="2"/>
    <x v="6"/>
  </r>
  <r>
    <n v="391"/>
    <x v="1"/>
    <x v="3"/>
    <x v="3"/>
    <x v="0"/>
    <x v="39"/>
    <n v="20"/>
    <n v="4.8"/>
    <x v="1"/>
    <n v="13"/>
    <x v="0"/>
    <x v="0"/>
    <x v="0"/>
    <x v="0"/>
    <x v="3"/>
  </r>
  <r>
    <n v="392"/>
    <x v="1"/>
    <x v="4"/>
    <x v="4"/>
    <x v="1"/>
    <x v="22"/>
    <n v="13"/>
    <n v="4.0999999999999996"/>
    <x v="0"/>
    <n v="59"/>
    <x v="2"/>
    <x v="1"/>
    <x v="0"/>
    <x v="1"/>
    <x v="7"/>
  </r>
  <r>
    <n v="393"/>
    <x v="0"/>
    <x v="5"/>
    <x v="5"/>
    <x v="2"/>
    <x v="72"/>
    <n v="7"/>
    <n v="3.4"/>
    <x v="1"/>
    <n v="28"/>
    <x v="1"/>
    <x v="0"/>
    <x v="3"/>
    <x v="2"/>
    <x v="0"/>
  </r>
  <r>
    <n v="394"/>
    <x v="0"/>
    <x v="6"/>
    <x v="0"/>
    <x v="0"/>
    <x v="24"/>
    <n v="15"/>
    <n v="4.5"/>
    <x v="0"/>
    <n v="32"/>
    <x v="0"/>
    <x v="0"/>
    <x v="1"/>
    <x v="0"/>
    <x v="5"/>
  </r>
  <r>
    <n v="395"/>
    <x v="1"/>
    <x v="7"/>
    <x v="1"/>
    <x v="1"/>
    <x v="7"/>
    <n v="12"/>
    <n v="4.0999999999999996"/>
    <x v="1"/>
    <n v="17"/>
    <x v="1"/>
    <x v="0"/>
    <x v="1"/>
    <x v="1"/>
    <x v="1"/>
  </r>
  <r>
    <n v="396"/>
    <x v="0"/>
    <x v="8"/>
    <x v="2"/>
    <x v="2"/>
    <x v="73"/>
    <n v="9"/>
    <n v="3.6"/>
    <x v="0"/>
    <n v="44"/>
    <x v="2"/>
    <x v="1"/>
    <x v="2"/>
    <x v="2"/>
    <x v="6"/>
  </r>
  <r>
    <n v="397"/>
    <x v="1"/>
    <x v="9"/>
    <x v="3"/>
    <x v="0"/>
    <x v="63"/>
    <n v="21"/>
    <n v="4.9000000000000004"/>
    <x v="1"/>
    <n v="12"/>
    <x v="0"/>
    <x v="0"/>
    <x v="0"/>
    <x v="0"/>
    <x v="3"/>
  </r>
  <r>
    <n v="398"/>
    <x v="1"/>
    <x v="10"/>
    <x v="4"/>
    <x v="1"/>
    <x v="69"/>
    <n v="10"/>
    <n v="3.8"/>
    <x v="0"/>
    <n v="38"/>
    <x v="2"/>
    <x v="1"/>
    <x v="1"/>
    <x v="1"/>
    <x v="2"/>
  </r>
  <r>
    <n v="399"/>
    <x v="0"/>
    <x v="11"/>
    <x v="5"/>
    <x v="2"/>
    <x v="11"/>
    <n v="8"/>
    <n v="3"/>
    <x v="1"/>
    <n v="22"/>
    <x v="1"/>
    <x v="0"/>
    <x v="3"/>
    <x v="2"/>
    <x v="0"/>
  </r>
  <r>
    <n v="400"/>
    <x v="0"/>
    <x v="3"/>
    <x v="0"/>
    <x v="0"/>
    <x v="30"/>
    <n v="16"/>
    <n v="4.5"/>
    <x v="0"/>
    <n v="25"/>
    <x v="0"/>
    <x v="0"/>
    <x v="0"/>
    <x v="0"/>
    <x v="0"/>
  </r>
  <r>
    <n v="401"/>
    <x v="1"/>
    <x v="12"/>
    <x v="1"/>
    <x v="1"/>
    <x v="37"/>
    <n v="11"/>
    <n v="4.0999999999999996"/>
    <x v="1"/>
    <n v="18"/>
    <x v="1"/>
    <x v="0"/>
    <x v="1"/>
    <x v="1"/>
    <x v="1"/>
  </r>
  <r>
    <n v="402"/>
    <x v="0"/>
    <x v="2"/>
    <x v="2"/>
    <x v="2"/>
    <x v="57"/>
    <n v="10"/>
    <n v="3.3"/>
    <x v="0"/>
    <n v="45"/>
    <x v="2"/>
    <x v="1"/>
    <x v="2"/>
    <x v="2"/>
    <x v="6"/>
  </r>
  <r>
    <n v="403"/>
    <x v="1"/>
    <x v="3"/>
    <x v="3"/>
    <x v="0"/>
    <x v="58"/>
    <n v="19"/>
    <n v="4.5999999999999996"/>
    <x v="1"/>
    <n v="13"/>
    <x v="0"/>
    <x v="0"/>
    <x v="0"/>
    <x v="0"/>
    <x v="3"/>
  </r>
  <r>
    <n v="404"/>
    <x v="1"/>
    <x v="4"/>
    <x v="4"/>
    <x v="1"/>
    <x v="22"/>
    <n v="13"/>
    <n v="4.0999999999999996"/>
    <x v="0"/>
    <n v="60"/>
    <x v="2"/>
    <x v="1"/>
    <x v="0"/>
    <x v="1"/>
    <x v="7"/>
  </r>
  <r>
    <n v="405"/>
    <x v="0"/>
    <x v="5"/>
    <x v="5"/>
    <x v="2"/>
    <x v="23"/>
    <n v="7"/>
    <n v="3.4"/>
    <x v="1"/>
    <n v="29"/>
    <x v="1"/>
    <x v="0"/>
    <x v="3"/>
    <x v="2"/>
    <x v="5"/>
  </r>
  <r>
    <n v="406"/>
    <x v="0"/>
    <x v="6"/>
    <x v="0"/>
    <x v="0"/>
    <x v="68"/>
    <n v="15"/>
    <n v="4.5"/>
    <x v="0"/>
    <n v="33"/>
    <x v="0"/>
    <x v="0"/>
    <x v="1"/>
    <x v="0"/>
    <x v="5"/>
  </r>
  <r>
    <n v="407"/>
    <x v="1"/>
    <x v="7"/>
    <x v="1"/>
    <x v="1"/>
    <x v="43"/>
    <n v="12"/>
    <n v="4.3"/>
    <x v="1"/>
    <n v="16"/>
    <x v="1"/>
    <x v="0"/>
    <x v="1"/>
    <x v="1"/>
    <x v="1"/>
  </r>
  <r>
    <n v="408"/>
    <x v="0"/>
    <x v="8"/>
    <x v="2"/>
    <x v="2"/>
    <x v="8"/>
    <n v="9"/>
    <n v="3.6"/>
    <x v="0"/>
    <n v="45"/>
    <x v="2"/>
    <x v="1"/>
    <x v="2"/>
    <x v="2"/>
    <x v="6"/>
  </r>
  <r>
    <n v="409"/>
    <x v="1"/>
    <x v="9"/>
    <x v="3"/>
    <x v="0"/>
    <x v="45"/>
    <n v="21"/>
    <n v="4.9000000000000004"/>
    <x v="1"/>
    <n v="11"/>
    <x v="0"/>
    <x v="0"/>
    <x v="0"/>
    <x v="0"/>
    <x v="3"/>
  </r>
  <r>
    <n v="410"/>
    <x v="1"/>
    <x v="10"/>
    <x v="4"/>
    <x v="1"/>
    <x v="69"/>
    <n v="10"/>
    <n v="3.8"/>
    <x v="0"/>
    <n v="39"/>
    <x v="2"/>
    <x v="1"/>
    <x v="1"/>
    <x v="1"/>
    <x v="2"/>
  </r>
  <r>
    <n v="411"/>
    <x v="0"/>
    <x v="11"/>
    <x v="5"/>
    <x v="2"/>
    <x v="75"/>
    <n v="8"/>
    <n v="3.1"/>
    <x v="1"/>
    <n v="24"/>
    <x v="1"/>
    <x v="0"/>
    <x v="3"/>
    <x v="2"/>
    <x v="0"/>
  </r>
  <r>
    <n v="412"/>
    <x v="0"/>
    <x v="3"/>
    <x v="0"/>
    <x v="0"/>
    <x v="12"/>
    <n v="16"/>
    <n v="4.7"/>
    <x v="0"/>
    <n v="25"/>
    <x v="0"/>
    <x v="0"/>
    <x v="0"/>
    <x v="0"/>
    <x v="0"/>
  </r>
  <r>
    <n v="413"/>
    <x v="1"/>
    <x v="1"/>
    <x v="1"/>
    <x v="1"/>
    <x v="71"/>
    <n v="11"/>
    <n v="4.0999999999999996"/>
    <x v="1"/>
    <n v="17"/>
    <x v="1"/>
    <x v="0"/>
    <x v="1"/>
    <x v="1"/>
    <x v="1"/>
  </r>
  <r>
    <n v="414"/>
    <x v="0"/>
    <x v="2"/>
    <x v="2"/>
    <x v="2"/>
    <x v="20"/>
    <n v="10"/>
    <n v="3.3"/>
    <x v="0"/>
    <n v="46"/>
    <x v="2"/>
    <x v="1"/>
    <x v="2"/>
    <x v="2"/>
    <x v="6"/>
  </r>
  <r>
    <n v="415"/>
    <x v="1"/>
    <x v="3"/>
    <x v="3"/>
    <x v="0"/>
    <x v="39"/>
    <n v="20"/>
    <n v="4.8"/>
    <x v="1"/>
    <n v="14"/>
    <x v="0"/>
    <x v="0"/>
    <x v="0"/>
    <x v="0"/>
    <x v="3"/>
  </r>
  <r>
    <n v="416"/>
    <x v="1"/>
    <x v="4"/>
    <x v="4"/>
    <x v="1"/>
    <x v="22"/>
    <n v="13"/>
    <n v="4.0999999999999996"/>
    <x v="0"/>
    <n v="61"/>
    <x v="2"/>
    <x v="1"/>
    <x v="0"/>
    <x v="1"/>
    <x v="7"/>
  </r>
  <r>
    <n v="417"/>
    <x v="0"/>
    <x v="5"/>
    <x v="5"/>
    <x v="2"/>
    <x v="72"/>
    <n v="7"/>
    <n v="3.4"/>
    <x v="1"/>
    <n v="30"/>
    <x v="1"/>
    <x v="0"/>
    <x v="3"/>
    <x v="2"/>
    <x v="5"/>
  </r>
  <r>
    <n v="418"/>
    <x v="0"/>
    <x v="6"/>
    <x v="0"/>
    <x v="0"/>
    <x v="24"/>
    <n v="15"/>
    <n v="4.5"/>
    <x v="0"/>
    <n v="34"/>
    <x v="0"/>
    <x v="0"/>
    <x v="1"/>
    <x v="0"/>
    <x v="5"/>
  </r>
  <r>
    <n v="419"/>
    <x v="1"/>
    <x v="7"/>
    <x v="1"/>
    <x v="1"/>
    <x v="7"/>
    <n v="12"/>
    <n v="4.0999999999999996"/>
    <x v="1"/>
    <n v="19"/>
    <x v="1"/>
    <x v="0"/>
    <x v="1"/>
    <x v="1"/>
    <x v="1"/>
  </r>
  <r>
    <n v="420"/>
    <x v="0"/>
    <x v="8"/>
    <x v="2"/>
    <x v="2"/>
    <x v="73"/>
    <n v="9"/>
    <n v="3.6"/>
    <x v="0"/>
    <n v="46"/>
    <x v="2"/>
    <x v="1"/>
    <x v="2"/>
    <x v="2"/>
    <x v="6"/>
  </r>
  <r>
    <n v="421"/>
    <x v="1"/>
    <x v="9"/>
    <x v="3"/>
    <x v="0"/>
    <x v="63"/>
    <n v="21"/>
    <n v="4.9000000000000004"/>
    <x v="1"/>
    <n v="12"/>
    <x v="0"/>
    <x v="0"/>
    <x v="0"/>
    <x v="0"/>
    <x v="3"/>
  </r>
  <r>
    <n v="422"/>
    <x v="1"/>
    <x v="10"/>
    <x v="4"/>
    <x v="1"/>
    <x v="69"/>
    <n v="10"/>
    <n v="3.8"/>
    <x v="0"/>
    <n v="40"/>
    <x v="2"/>
    <x v="1"/>
    <x v="1"/>
    <x v="1"/>
    <x v="2"/>
  </r>
  <r>
    <n v="423"/>
    <x v="0"/>
    <x v="11"/>
    <x v="5"/>
    <x v="2"/>
    <x v="11"/>
    <n v="8"/>
    <n v="3"/>
    <x v="1"/>
    <n v="26"/>
    <x v="1"/>
    <x v="0"/>
    <x v="3"/>
    <x v="2"/>
    <x v="0"/>
  </r>
  <r>
    <n v="424"/>
    <x v="0"/>
    <x v="3"/>
    <x v="0"/>
    <x v="0"/>
    <x v="30"/>
    <n v="16"/>
    <n v="4.5"/>
    <x v="0"/>
    <n v="27"/>
    <x v="0"/>
    <x v="0"/>
    <x v="0"/>
    <x v="0"/>
    <x v="0"/>
  </r>
  <r>
    <n v="425"/>
    <x v="1"/>
    <x v="1"/>
    <x v="1"/>
    <x v="1"/>
    <x v="71"/>
    <n v="11"/>
    <n v="4.2"/>
    <x v="1"/>
    <n v="18"/>
    <x v="1"/>
    <x v="0"/>
    <x v="1"/>
    <x v="1"/>
    <x v="1"/>
  </r>
  <r>
    <n v="426"/>
    <x v="0"/>
    <x v="2"/>
    <x v="2"/>
    <x v="2"/>
    <x v="57"/>
    <n v="10"/>
    <n v="3.3"/>
    <x v="0"/>
    <n v="47"/>
    <x v="2"/>
    <x v="1"/>
    <x v="2"/>
    <x v="2"/>
    <x v="6"/>
  </r>
  <r>
    <n v="427"/>
    <x v="1"/>
    <x v="3"/>
    <x v="3"/>
    <x v="0"/>
    <x v="58"/>
    <n v="19"/>
    <n v="4.5999999999999996"/>
    <x v="1"/>
    <n v="14"/>
    <x v="0"/>
    <x v="0"/>
    <x v="0"/>
    <x v="0"/>
    <x v="3"/>
  </r>
  <r>
    <n v="428"/>
    <x v="1"/>
    <x v="4"/>
    <x v="4"/>
    <x v="1"/>
    <x v="22"/>
    <n v="13"/>
    <n v="4.0999999999999996"/>
    <x v="0"/>
    <n v="62"/>
    <x v="2"/>
    <x v="1"/>
    <x v="0"/>
    <x v="1"/>
    <x v="7"/>
  </r>
  <r>
    <n v="429"/>
    <x v="0"/>
    <x v="5"/>
    <x v="5"/>
    <x v="2"/>
    <x v="23"/>
    <n v="7"/>
    <n v="3.4"/>
    <x v="1"/>
    <n v="31"/>
    <x v="1"/>
    <x v="0"/>
    <x v="3"/>
    <x v="2"/>
    <x v="5"/>
  </r>
  <r>
    <n v="430"/>
    <x v="0"/>
    <x v="6"/>
    <x v="0"/>
    <x v="0"/>
    <x v="68"/>
    <n v="15"/>
    <n v="4.5"/>
    <x v="0"/>
    <n v="35"/>
    <x v="0"/>
    <x v="0"/>
    <x v="1"/>
    <x v="0"/>
    <x v="5"/>
  </r>
  <r>
    <n v="431"/>
    <x v="1"/>
    <x v="7"/>
    <x v="1"/>
    <x v="1"/>
    <x v="43"/>
    <n v="12"/>
    <n v="4.3"/>
    <x v="1"/>
    <n v="20"/>
    <x v="1"/>
    <x v="0"/>
    <x v="1"/>
    <x v="1"/>
    <x v="1"/>
  </r>
  <r>
    <n v="432"/>
    <x v="0"/>
    <x v="8"/>
    <x v="2"/>
    <x v="2"/>
    <x v="8"/>
    <n v="9"/>
    <n v="3.6"/>
    <x v="0"/>
    <n v="47"/>
    <x v="2"/>
    <x v="1"/>
    <x v="2"/>
    <x v="2"/>
    <x v="6"/>
  </r>
  <r>
    <n v="433"/>
    <x v="1"/>
    <x v="9"/>
    <x v="3"/>
    <x v="0"/>
    <x v="45"/>
    <n v="21"/>
    <n v="4.9000000000000004"/>
    <x v="1"/>
    <n v="11"/>
    <x v="0"/>
    <x v="0"/>
    <x v="0"/>
    <x v="0"/>
    <x v="3"/>
  </r>
  <r>
    <n v="434"/>
    <x v="1"/>
    <x v="10"/>
    <x v="4"/>
    <x v="1"/>
    <x v="69"/>
    <n v="10"/>
    <n v="3.8"/>
    <x v="0"/>
    <n v="41"/>
    <x v="2"/>
    <x v="1"/>
    <x v="1"/>
    <x v="1"/>
    <x v="2"/>
  </r>
  <r>
    <n v="435"/>
    <x v="0"/>
    <x v="11"/>
    <x v="5"/>
    <x v="2"/>
    <x v="75"/>
    <n v="8"/>
    <n v="3.1"/>
    <x v="1"/>
    <n v="28"/>
    <x v="1"/>
    <x v="0"/>
    <x v="3"/>
    <x v="2"/>
    <x v="0"/>
  </r>
  <r>
    <n v="436"/>
    <x v="0"/>
    <x v="3"/>
    <x v="0"/>
    <x v="0"/>
    <x v="12"/>
    <n v="16"/>
    <n v="4.7"/>
    <x v="0"/>
    <n v="28"/>
    <x v="0"/>
    <x v="0"/>
    <x v="0"/>
    <x v="0"/>
    <x v="0"/>
  </r>
  <r>
    <n v="437"/>
    <x v="1"/>
    <x v="1"/>
    <x v="1"/>
    <x v="1"/>
    <x v="71"/>
    <n v="11"/>
    <n v="4.0999999999999996"/>
    <x v="1"/>
    <n v="19"/>
    <x v="1"/>
    <x v="0"/>
    <x v="1"/>
    <x v="1"/>
    <x v="1"/>
  </r>
  <r>
    <n v="438"/>
    <x v="0"/>
    <x v="2"/>
    <x v="2"/>
    <x v="2"/>
    <x v="20"/>
    <n v="10"/>
    <n v="3.3"/>
    <x v="0"/>
    <n v="48"/>
    <x v="2"/>
    <x v="1"/>
    <x v="2"/>
    <x v="2"/>
    <x v="6"/>
  </r>
  <r>
    <n v="439"/>
    <x v="1"/>
    <x v="3"/>
    <x v="3"/>
    <x v="0"/>
    <x v="39"/>
    <n v="20"/>
    <n v="4.8"/>
    <x v="1"/>
    <n v="15"/>
    <x v="0"/>
    <x v="0"/>
    <x v="0"/>
    <x v="0"/>
    <x v="1"/>
  </r>
  <r>
    <n v="440"/>
    <x v="1"/>
    <x v="4"/>
    <x v="4"/>
    <x v="1"/>
    <x v="22"/>
    <n v="13"/>
    <n v="4.0999999999999996"/>
    <x v="0"/>
    <n v="63"/>
    <x v="2"/>
    <x v="1"/>
    <x v="0"/>
    <x v="1"/>
    <x v="7"/>
  </r>
  <r>
    <n v="441"/>
    <x v="0"/>
    <x v="5"/>
    <x v="5"/>
    <x v="2"/>
    <x v="72"/>
    <n v="7"/>
    <n v="3.4"/>
    <x v="1"/>
    <n v="32"/>
    <x v="1"/>
    <x v="0"/>
    <x v="3"/>
    <x v="2"/>
    <x v="5"/>
  </r>
  <r>
    <n v="442"/>
    <x v="0"/>
    <x v="6"/>
    <x v="0"/>
    <x v="0"/>
    <x v="24"/>
    <n v="15"/>
    <n v="4.5"/>
    <x v="0"/>
    <n v="36"/>
    <x v="0"/>
    <x v="0"/>
    <x v="1"/>
    <x v="0"/>
    <x v="2"/>
  </r>
  <r>
    <n v="443"/>
    <x v="1"/>
    <x v="7"/>
    <x v="1"/>
    <x v="1"/>
    <x v="7"/>
    <n v="12"/>
    <n v="4.0999999999999996"/>
    <x v="1"/>
    <n v="20"/>
    <x v="1"/>
    <x v="0"/>
    <x v="1"/>
    <x v="1"/>
    <x v="1"/>
  </r>
  <r>
    <n v="444"/>
    <x v="0"/>
    <x v="8"/>
    <x v="2"/>
    <x v="2"/>
    <x v="73"/>
    <n v="9"/>
    <n v="3.6"/>
    <x v="0"/>
    <n v="48"/>
    <x v="2"/>
    <x v="1"/>
    <x v="2"/>
    <x v="2"/>
    <x v="6"/>
  </r>
  <r>
    <n v="445"/>
    <x v="1"/>
    <x v="9"/>
    <x v="3"/>
    <x v="0"/>
    <x v="63"/>
    <n v="21"/>
    <n v="4.9000000000000004"/>
    <x v="1"/>
    <n v="13"/>
    <x v="0"/>
    <x v="0"/>
    <x v="0"/>
    <x v="0"/>
    <x v="3"/>
  </r>
  <r>
    <n v="446"/>
    <x v="1"/>
    <x v="10"/>
    <x v="4"/>
    <x v="1"/>
    <x v="69"/>
    <n v="10"/>
    <n v="3.8"/>
    <x v="0"/>
    <n v="42"/>
    <x v="2"/>
    <x v="1"/>
    <x v="1"/>
    <x v="1"/>
    <x v="2"/>
  </r>
  <r>
    <n v="447"/>
    <x v="0"/>
    <x v="11"/>
    <x v="5"/>
    <x v="2"/>
    <x v="11"/>
    <n v="8"/>
    <n v="3"/>
    <x v="1"/>
    <n v="27"/>
    <x v="1"/>
    <x v="0"/>
    <x v="3"/>
    <x v="2"/>
    <x v="0"/>
  </r>
  <r>
    <n v="448"/>
    <x v="0"/>
    <x v="3"/>
    <x v="0"/>
    <x v="0"/>
    <x v="30"/>
    <n v="16"/>
    <n v="4.5"/>
    <x v="0"/>
    <n v="28"/>
    <x v="0"/>
    <x v="0"/>
    <x v="0"/>
    <x v="0"/>
    <x v="0"/>
  </r>
  <r>
    <n v="449"/>
    <x v="1"/>
    <x v="1"/>
    <x v="1"/>
    <x v="1"/>
    <x v="71"/>
    <n v="11"/>
    <n v="4.2"/>
    <x v="1"/>
    <n v="21"/>
    <x v="1"/>
    <x v="0"/>
    <x v="1"/>
    <x v="1"/>
    <x v="1"/>
  </r>
  <r>
    <n v="450"/>
    <x v="0"/>
    <x v="2"/>
    <x v="2"/>
    <x v="2"/>
    <x v="57"/>
    <n v="10"/>
    <n v="3.3"/>
    <x v="0"/>
    <n v="49"/>
    <x v="2"/>
    <x v="1"/>
    <x v="2"/>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Discount Applied">
  <location ref="A134:B136" firstHeaderRow="1" firstDataRow="1" firstDataCol="1"/>
  <pivotFields count="15">
    <pivotField dataField="1" numFmtId="49" showAll="0"/>
    <pivotField showAll="0"/>
    <pivotField showAll="0"/>
    <pivotField showAll="0"/>
    <pivotField showAll="0"/>
    <pivotField numFmtId="164"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8"/>
  </rowFields>
  <rowItems count="2">
    <i>
      <x/>
    </i>
    <i>
      <x v="1"/>
    </i>
  </rowItems>
  <colItems count="1">
    <i/>
  </colItems>
  <dataFields count="1">
    <dataField name="Total Customers"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rowHeaderCaption="Churn Risk">
  <location ref="A72:B74" firstHeaderRow="1" firstDataRow="1" firstDataCol="1"/>
  <pivotFields count="15">
    <pivotField numFmtId="49"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numFmtId="164" showAll="0"/>
    <pivotField showAll="0"/>
    <pivotField showAll="0"/>
    <pivotField showAll="0">
      <items count="3">
        <item x="1"/>
        <item x="0"/>
        <item t="default"/>
      </items>
    </pivotField>
    <pivotField showAll="0"/>
    <pivotField showAll="0"/>
    <pivotField axis="axisRow"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11"/>
  </rowFields>
  <rowItems count="2">
    <i>
      <x/>
    </i>
    <i>
      <x v="1"/>
    </i>
  </rowItems>
  <colItems count="1">
    <i/>
  </colItems>
  <dataFields count="1">
    <dataField name="Average of Total Spend" fld="5" subtotal="average" baseField="11" baseItem="0" numFmtId="1"/>
  </dataFields>
  <formats count="10">
    <format dxfId="26">
      <pivotArea outline="0" collapsedLevelsAreSubtotals="1" fieldPosition="0"/>
    </format>
    <format dxfId="27">
      <pivotArea outline="0" collapsedLevelsAreSubtotals="1" fieldPosition="0"/>
    </format>
    <format dxfId="28">
      <pivotArea outline="0" fieldPosition="0">
        <references count="1">
          <reference field="4294967294" count="1">
            <x v="0"/>
          </reference>
        </references>
      </pivotArea>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 dxfId="34">
      <pivotArea outline="0" collapsedLevelsAreSubtotals="1" fieldPosition="0"/>
    </format>
    <format dxfId="35">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Satisfaction Level">
  <location ref="A22:C25" firstHeaderRow="0" firstDataRow="1" firstDataCol="1"/>
  <pivotFields count="15">
    <pivotField dataField="1" numFmtId="49"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numFmtId="164" showAll="0"/>
    <pivotField dataField="1"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10"/>
  </rowFields>
  <rowItems count="3">
    <i>
      <x/>
    </i>
    <i>
      <x v="2"/>
    </i>
    <i>
      <x v="1"/>
    </i>
  </rowItems>
  <colFields count="1">
    <field x="-2"/>
  </colFields>
  <colItems count="2">
    <i>
      <x/>
    </i>
    <i i="1">
      <x v="1"/>
    </i>
  </colItems>
  <dataFields count="2">
    <dataField name="Average of Items Purchased" fld="6" subtotal="average" baseField="10" baseItem="0" numFmtId="1"/>
    <dataField name="Total Customers" fld="0" subtotal="count" baseField="10" baseItem="0"/>
  </dataFields>
  <formats count="13">
    <format dxfId="48">
      <pivotArea outline="0" collapsedLevelsAreSubtotals="1" fieldPosition="0"/>
    </format>
    <format dxfId="49">
      <pivotArea outline="0" collapsedLevelsAreSubtotals="1" fieldPosition="0"/>
    </format>
    <format dxfId="50">
      <pivotArea outline="0" fieldPosition="0">
        <references count="1">
          <reference field="4294967294" count="1">
            <x v="0"/>
          </reference>
        </references>
      </pivotArea>
    </format>
    <format dxfId="51">
      <pivotArea outline="0" fieldPosition="0">
        <references count="1">
          <reference field="4294967294" count="1">
            <x v="1"/>
          </reference>
        </references>
      </pivotArea>
    </format>
    <format dxfId="52">
      <pivotArea outline="0" collapsedLevelsAreSubtotals="1" fieldPosition="0">
        <references count="1">
          <reference field="4294967294" count="1" selected="0">
            <x v="0"/>
          </reference>
        </references>
      </pivotArea>
    </format>
    <format dxfId="53">
      <pivotArea outline="0" collapsedLevelsAreSubtotals="1" fieldPosition="0">
        <references count="1">
          <reference field="4294967294" count="1" selected="0">
            <x v="0"/>
          </reference>
        </references>
      </pivotArea>
    </format>
    <format dxfId="54">
      <pivotArea outline="0" collapsedLevelsAreSubtotals="1" fieldPosition="0">
        <references count="1">
          <reference field="4294967294" count="1" selected="0">
            <x v="0"/>
          </reference>
        </references>
      </pivotArea>
    </format>
    <format dxfId="55">
      <pivotArea outline="0" collapsedLevelsAreSubtotals="1" fieldPosition="0">
        <references count="1">
          <reference field="4294967294" count="1" selected="0">
            <x v="0"/>
          </reference>
        </references>
      </pivotArea>
    </format>
    <format dxfId="56">
      <pivotArea outline="0" collapsedLevelsAreSubtotals="1" fieldPosition="0">
        <references count="1">
          <reference field="4294967294" count="1" selected="0">
            <x v="0"/>
          </reference>
        </references>
      </pivotArea>
    </format>
    <format dxfId="57">
      <pivotArea outline="0" collapsedLevelsAreSubtotals="1" fieldPosition="0">
        <references count="1">
          <reference field="4294967294" count="1" selected="0">
            <x v="0"/>
          </reference>
        </references>
      </pivotArea>
    </format>
    <format dxfId="58">
      <pivotArea outline="0" collapsedLevelsAreSubtotals="1" fieldPosition="0">
        <references count="1">
          <reference field="4294967294" count="1" selected="0">
            <x v="0"/>
          </reference>
        </references>
      </pivotArea>
    </format>
    <format dxfId="59">
      <pivotArea outline="0" collapsedLevelsAreSubtotals="1" fieldPosition="0">
        <references count="1">
          <reference field="4294967294" count="1" selected="0">
            <x v="0"/>
          </reference>
        </references>
      </pivotArea>
    </format>
    <format dxfId="60">
      <pivotArea outline="0" collapsedLevelsAreSubtotals="1" fieldPosition="0">
        <references count="1">
          <reference field="4294967294" count="1" selected="0">
            <x v="0"/>
          </reference>
        </references>
      </pivotArea>
    </format>
  </formats>
  <chartFormats count="12">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City">
  <location ref="A36:B42" firstHeaderRow="1" firstDataRow="1" firstDataCol="1"/>
  <pivotFields count="15">
    <pivotField numFmtId="49" showAll="0"/>
    <pivotField showAll="0">
      <items count="3">
        <item x="0"/>
        <item x="1"/>
        <item t="default"/>
      </items>
    </pivotField>
    <pivotField showAll="0"/>
    <pivotField axis="axisRow" showAll="0" sortType="a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numFmtId="164" showAll="0"/>
    <pivotField showAll="0"/>
    <pivotField showAll="0"/>
    <pivotField showAll="0"/>
    <pivotField showAll="0"/>
    <pivotField showAll="0"/>
    <pivotField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3"/>
  </rowFields>
  <rowItems count="6">
    <i>
      <x v="1"/>
    </i>
    <i>
      <x/>
    </i>
    <i>
      <x v="3"/>
    </i>
    <i>
      <x v="2"/>
    </i>
    <i>
      <x v="4"/>
    </i>
    <i>
      <x v="5"/>
    </i>
  </rowItems>
  <colItems count="1">
    <i/>
  </colItems>
  <dataFields count="1">
    <dataField name="Average of Total Spend" fld="5" subtotal="average" baseField="3" baseItem="0" numFmtId="1"/>
  </dataFields>
  <formats count="10">
    <format dxfId="1">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3">
      <pivotArea outline="0" fieldPosition="0">
        <references count="1">
          <reference field="4294967294" count="1">
            <x v="0"/>
          </reference>
        </references>
      </pivotArea>
    </format>
    <format dxfId="4">
      <pivotArea outline="0" collapsedLevelsAreSubtotals="1"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 dxfId="0">
      <pivotArea outline="0" collapsedLevelsAreSubtotals="1" fieldPosition="0"/>
    </format>
  </formats>
  <chartFormats count="5">
    <chartFormat chart="0" format="5"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Discount applied">
  <location ref="A56:B58" firstHeaderRow="1" firstDataRow="1" firstDataCol="1"/>
  <pivotFields count="15">
    <pivotField numFmtId="49"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numFmtId="164"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8"/>
  </rowFields>
  <rowItems count="2">
    <i>
      <x v="1"/>
    </i>
    <i>
      <x/>
    </i>
  </rowItems>
  <colItems count="1">
    <i/>
  </colItems>
  <dataFields count="1">
    <dataField name="Average of Total Spend" fld="5" subtotal="average" baseField="8" baseItem="0" numFmtId="1"/>
  </dataFields>
  <formats count="12">
    <format dxfId="36">
      <pivotArea collapsedLevelsAreSubtotals="1" fieldPosition="0">
        <references count="1">
          <reference field="8" count="1">
            <x v="1"/>
          </reference>
        </references>
      </pivotArea>
    </format>
    <format dxfId="37">
      <pivotArea collapsedLevelsAreSubtotals="1" fieldPosition="0">
        <references count="1">
          <reference field="8" count="1">
            <x v="1"/>
          </reference>
        </references>
      </pivotArea>
    </format>
    <format dxfId="38">
      <pivotArea collapsedLevelsAreSubtotals="1" fieldPosition="0">
        <references count="1">
          <reference field="8" count="1">
            <x v="0"/>
          </reference>
        </references>
      </pivotArea>
    </format>
    <format dxfId="39">
      <pivotArea collapsedLevelsAreSubtotals="1" fieldPosition="0">
        <references count="1">
          <reference field="8" count="1">
            <x v="0"/>
          </reference>
        </references>
      </pivotArea>
    </format>
    <format dxfId="40">
      <pivotArea outline="0" fieldPosition="0">
        <references count="1">
          <reference field="4294967294" count="1">
            <x v="0"/>
          </reference>
        </references>
      </pivotArea>
    </format>
    <format dxfId="41">
      <pivotArea outline="0" collapsedLevelsAreSubtotals="1"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outline="0" collapsedLevelsAreSubtotals="1" fieldPosition="0"/>
    </format>
    <format dxfId="46">
      <pivotArea outline="0" collapsedLevelsAreSubtotals="1" fieldPosition="0"/>
    </format>
    <format dxfId="47">
      <pivotArea outline="0" collapsedLevelsAreSubtotals="1" fieldPosition="0"/>
    </format>
  </format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location ref="A123:C130" firstHeaderRow="1" firstDataRow="2" firstDataCol="1"/>
  <pivotFields count="15">
    <pivotField dataField="1" numFmtId="49" showAll="0"/>
    <pivotField showAll="0">
      <items count="3">
        <item x="0"/>
        <item x="1"/>
        <item t="default"/>
      </items>
    </pivotField>
    <pivotField showAll="0"/>
    <pivotField axis="axisRow" showAll="0">
      <items count="7">
        <item x="2"/>
        <item x="5"/>
        <item x="1"/>
        <item x="4"/>
        <item x="0"/>
        <item x="3"/>
        <item t="default"/>
      </items>
    </pivotField>
    <pivotField showAll="0">
      <items count="4">
        <item x="2"/>
        <item x="0"/>
        <item x="1"/>
        <item t="default"/>
      </items>
    </pivotField>
    <pivotField numFmtId="164" showAll="0"/>
    <pivotField showAll="0"/>
    <pivotField showAll="0"/>
    <pivotField showAll="0"/>
    <pivotField showAll="0"/>
    <pivotField showAll="0"/>
    <pivotField axis="axisCol"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3"/>
  </rowFields>
  <rowItems count="6">
    <i>
      <x/>
    </i>
    <i>
      <x v="1"/>
    </i>
    <i>
      <x v="2"/>
    </i>
    <i>
      <x v="3"/>
    </i>
    <i>
      <x v="4"/>
    </i>
    <i>
      <x v="5"/>
    </i>
  </rowItems>
  <colFields count="1">
    <field x="11"/>
  </colFields>
  <colItems count="2">
    <i>
      <x/>
    </i>
    <i>
      <x v="1"/>
    </i>
  </colItems>
  <dataFields count="1">
    <dataField name="Count of Customer ID" fld="0" subtotal="count" baseField="3" baseItem="0"/>
  </dataFields>
  <chartFormats count="9">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3">
          <reference field="4294967294" count="1" selected="0">
            <x v="0"/>
          </reference>
          <reference field="3" count="1" selected="0">
            <x v="2"/>
          </reference>
          <reference field="11" count="1" selected="0">
            <x v="1"/>
          </reference>
        </references>
      </pivotArea>
    </chartFormat>
    <chartFormat chart="0" format="5">
      <pivotArea type="data" outline="0" fieldPosition="0">
        <references count="3">
          <reference field="4294967294" count="1" selected="0">
            <x v="0"/>
          </reference>
          <reference field="3" count="1" selected="0">
            <x v="1"/>
          </reference>
          <reference field="11" count="1" selected="0">
            <x v="1"/>
          </reference>
        </references>
      </pivotArea>
    </chartFormat>
    <chartFormat chart="0" format="6">
      <pivotArea type="data" outline="0" fieldPosition="0">
        <references count="3">
          <reference field="4294967294" count="1" selected="0">
            <x v="0"/>
          </reference>
          <reference field="3" count="1" selected="0">
            <x v="5"/>
          </reference>
          <reference field="11" count="1" selected="0">
            <x v="1"/>
          </reference>
        </references>
      </pivotArea>
    </chartFormat>
    <chartFormat chart="0" format="7">
      <pivotArea type="data" outline="0" fieldPosition="0">
        <references count="3">
          <reference field="4294967294" count="1" selected="0">
            <x v="0"/>
          </reference>
          <reference field="3" count="1" selected="0">
            <x v="4"/>
          </reference>
          <reference field="11" count="1" selected="0">
            <x v="1"/>
          </reference>
        </references>
      </pivotArea>
    </chartFormat>
    <chartFormat chart="0" format="8">
      <pivotArea type="data" outline="0" fieldPosition="0">
        <references count="3">
          <reference field="4294967294" count="1" selected="0">
            <x v="0"/>
          </reference>
          <reference field="3" count="1" selected="0">
            <x v="0"/>
          </reference>
          <reference field="11" count="1" selected="0">
            <x v="0"/>
          </reference>
        </references>
      </pivotArea>
    </chartFormat>
    <chartFormat chart="0" format="9">
      <pivotArea type="data" outline="0" fieldPosition="0">
        <references count="3">
          <reference field="4294967294" count="1" selected="0">
            <x v="0"/>
          </reference>
          <reference field="3" count="1" selected="0">
            <x v="3"/>
          </reference>
          <reference field="11" count="1" selected="0">
            <x v="0"/>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rowHeaderCaption="Age Group">
  <location ref="A84:B88" firstHeaderRow="1" firstDataRow="1" firstDataCol="1"/>
  <pivotFields count="15">
    <pivotField numFmtId="49"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dataField="1" numFmtId="164" showAll="0"/>
    <pivotField showAll="0"/>
    <pivotField showAll="0"/>
    <pivotField showAll="0"/>
    <pivotField showAll="0"/>
    <pivotField showAll="0"/>
    <pivotField showAll="0">
      <items count="3">
        <item x="1"/>
        <item x="0"/>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items count="9">
        <item x="3"/>
        <item x="1"/>
        <item x="0"/>
        <item x="5"/>
        <item x="2"/>
        <item x="6"/>
        <item x="4"/>
        <item x="7"/>
        <item t="default"/>
      </items>
    </pivotField>
  </pivotFields>
  <rowFields count="1">
    <field x="12"/>
  </rowFields>
  <rowItems count="4">
    <i>
      <x v="2"/>
    </i>
    <i>
      <x v="3"/>
    </i>
    <i>
      <x v="1"/>
    </i>
    <i>
      <x/>
    </i>
  </rowItems>
  <colItems count="1">
    <i/>
  </colItems>
  <dataFields count="1">
    <dataField name="Average of Total Spend" fld="5" subtotal="average" baseField="12" baseItem="0" numFmtId="1"/>
  </dataFields>
  <formats count="9">
    <format dxfId="17">
      <pivotArea outline="0" collapsedLevelsAreSubtotals="1" fieldPosition="0"/>
    </format>
    <format dxfId="18">
      <pivotArea outline="0" collapsedLevelsAreSubtotals="1" fieldPosition="0"/>
    </format>
    <format dxfId="19">
      <pivotArea outline="0" fieldPosition="0">
        <references count="1">
          <reference field="4294967294" count="1">
            <x v="0"/>
          </reference>
        </references>
      </pivotArea>
    </format>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collapsedLevelsAreSubtotals="1" fieldPosition="0"/>
    </format>
    <format dxfId="24">
      <pivotArea outline="0" collapsedLevelsAreSubtotals="1" fieldPosition="0"/>
    </format>
    <format dxfId="25">
      <pivotArea outline="0" collapsedLevelsAreSubtotals="1" fieldPosition="0"/>
    </format>
  </formats>
  <chartFormats count="4">
    <chartFormat chart="1" format="8"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rowHeaderCaption="Gender">
  <location ref="A104:C106" firstHeaderRow="0" firstDataRow="1" firstDataCol="1"/>
  <pivotFields count="15">
    <pivotField numFmtId="49" showAll="0"/>
    <pivotField axis="axisRow"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numFmtId="164" showAll="0"/>
    <pivotField dataField="1" showAll="0"/>
    <pivotField showAll="0"/>
    <pivotField showAll="0"/>
    <pivotField showAll="0"/>
    <pivotField showAll="0"/>
    <pivotField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1"/>
  </rowFields>
  <rowItems count="2">
    <i>
      <x/>
    </i>
    <i>
      <x v="1"/>
    </i>
  </rowItems>
  <colFields count="1">
    <field x="-2"/>
  </colFields>
  <colItems count="2">
    <i>
      <x/>
    </i>
    <i i="1">
      <x v="1"/>
    </i>
  </colItems>
  <dataFields count="2">
    <dataField name="Average of Total Spend" fld="5" subtotal="average" baseField="1" baseItem="0" numFmtId="1"/>
    <dataField name="Total Items Purchased" fld="6" baseField="1" baseItem="0"/>
  </dataFields>
  <formats count="7">
    <format dxfId="10">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0"/>
          </reference>
        </references>
      </pivotArea>
    </format>
  </formats>
  <chartFormats count="8">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Membership Type">
  <location ref="A2:C5" firstHeaderRow="0" firstDataRow="1" firstDataCol="1"/>
  <pivotFields count="15">
    <pivotField numFmtId="49" showAll="0"/>
    <pivotField showAll="0">
      <items count="3">
        <item x="0"/>
        <item x="1"/>
        <item t="default"/>
      </items>
    </pivotField>
    <pivotField showAll="0"/>
    <pivotField showAll="0">
      <items count="7">
        <item x="2"/>
        <item x="5"/>
        <item x="1"/>
        <item x="4"/>
        <item x="0"/>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showAll="0"/>
    <pivotField showAll="0"/>
    <pivotField showAll="0"/>
    <pivotField showAll="0">
      <items count="4">
        <item x="1"/>
        <item x="0"/>
        <item x="2"/>
        <item t="default"/>
      </items>
    </pivotField>
    <pivotField showAll="0">
      <items count="3">
        <item x="1"/>
        <item x="0"/>
        <item t="default"/>
      </items>
    </pivotField>
    <pivotField showAll="0">
      <items count="5">
        <item x="0"/>
        <item x="1"/>
        <item x="3"/>
        <item x="2"/>
        <item t="default"/>
      </items>
    </pivotField>
    <pivotField showAll="0"/>
    <pivotField showAll="0">
      <items count="9">
        <item x="3"/>
        <item x="1"/>
        <item x="0"/>
        <item x="5"/>
        <item x="2"/>
        <item x="6"/>
        <item x="4"/>
        <item x="7"/>
        <item t="default"/>
      </items>
    </pivotField>
  </pivotFields>
  <rowFields count="1">
    <field x="4"/>
  </rowFields>
  <rowItems count="3">
    <i>
      <x v="2"/>
    </i>
    <i>
      <x/>
    </i>
    <i>
      <x v="1"/>
    </i>
  </rowItems>
  <colFields count="1">
    <field x="-2"/>
  </colFields>
  <colItems count="2">
    <i>
      <x/>
    </i>
    <i i="1">
      <x v="1"/>
    </i>
  </colItems>
  <dataFields count="2">
    <dataField name="Average of Total Spend" fld="5" subtotal="average" baseField="4" baseItem="0" numFmtId="1"/>
    <dataField name="Sum of Items Purchased" fld="6" baseField="0" baseItem="0"/>
  </dataFields>
  <formats count="10">
    <format dxfId="61">
      <pivotArea outline="0" collapsedLevelsAreSubtotals="1" fieldPosition="0"/>
    </format>
    <format dxfId="62">
      <pivotArea outline="0" collapsedLevelsAreSubtotals="1" fieldPosition="0"/>
    </format>
    <format dxfId="63">
      <pivotArea outline="0" fieldPosition="0">
        <references count="1">
          <reference field="4294967294" count="1">
            <x v="0"/>
          </reference>
        </references>
      </pivotArea>
    </format>
    <format dxfId="64">
      <pivotArea outline="0" collapsedLevelsAreSubtotals="1" fieldPosition="0"/>
    </format>
    <format dxfId="65">
      <pivotArea outline="0" collapsedLevelsAreSubtotals="1" fieldPosition="0"/>
    </format>
    <format dxfId="66">
      <pivotArea outline="0" collapsedLevelsAreSubtotals="1" fieldPosition="0"/>
    </format>
    <format dxfId="67">
      <pivotArea outline="0" collapsedLevelsAreSubtotals="1" fieldPosition="0"/>
    </format>
    <format dxfId="68">
      <pivotArea outline="0" collapsedLevelsAreSubtotals="1" fieldPosition="0"/>
    </format>
    <format dxfId="69">
      <pivotArea outline="0" collapsedLevelsAreSubtotals="1" fieldPosition="0"/>
    </format>
    <format dxfId="70">
      <pivotArea outline="0" collapsedLevelsAreSubtotals="1" fieldPosition="0"/>
    </format>
  </formats>
  <chartFormats count="8">
    <chartFormat chart="0" format="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6">
        <i x="2" s="1"/>
        <i x="5"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mbership_Type" sourceName="Membership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urn_Rate" sourceName="Churn R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4">
        <i x="0"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Weeks_Since_Last_Purchase" sourceName="Weeks Since Last Purchas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8">
        <i x="3" s="1"/>
        <i x="1" s="1"/>
        <i x="0" s="1"/>
        <i x="5" s="1"/>
        <i x="2"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artItem="3" style="SlicerStyleDark3" rowHeight="241300"/>
  <slicer name="Gender" cache="Slicer_Gender" caption="Gender" style="SlicerStyleDark3" rowHeight="241300"/>
  <slicer name="Membership Type" cache="Slicer_Membership_Type" caption="Membership Type" startItem="1" style="SlicerStyleDark3" rowHeight="241300"/>
  <slicer name="Churn Rate" cache="Slicer_Churn_Rate" caption="Churn Rate" style="SlicerStyleDark3" rowHeight="241300"/>
  <slicer name="Age Group" cache="Slicer_Age_Group" caption="Age Group" style="SlicerStyleDark3" rowHeight="241300"/>
  <slicer name="Weeks Since Last Purchase" cache="Slicer_Weeks_Since_Last_Purchase" caption="Weeks Since Last Purchase" startItem="2" style="SlicerStyleDark3" rowHeight="241300"/>
</slicers>
</file>

<file path=xl/tables/table1.xml><?xml version="1.0" encoding="utf-8"?>
<table xmlns="http://schemas.openxmlformats.org/spreadsheetml/2006/main" id="1" name="Customer_Table" displayName="Customer_Table" ref="A1:O351" totalsRowShown="0">
  <autoFilter ref="A1:O351"/>
  <tableColumns count="15">
    <tableColumn id="1" name="Customer ID" dataDxfId="77"/>
    <tableColumn id="2" name="Gender"/>
    <tableColumn id="3" name="Age"/>
    <tableColumn id="4" name="City"/>
    <tableColumn id="5" name="Membership Type"/>
    <tableColumn id="6" name="Total Spend" dataDxfId="76"/>
    <tableColumn id="7" name="Items Purchased"/>
    <tableColumn id="8" name="Average Rating"/>
    <tableColumn id="9" name="Discount Applied" dataDxfId="75"/>
    <tableColumn id="10" name="Days Since Last Purchase"/>
    <tableColumn id="11" name="Satisfaction Level"/>
    <tableColumn id="12" name="Churn Risk" dataDxfId="74">
      <calculatedColumnFormula xml:space="preserve"> IF(AND(Customer_Table[[#This Row],[Days Since Last Purchase]]&gt;21,Customer_Table[[#This Row],[Satisfaction Level]] = "Unsatisfied"), "At Risk", "Low Risk")</calculatedColumnFormula>
    </tableColumn>
    <tableColumn id="13" name="Age Group" dataDxfId="73">
      <calculatedColumnFormula xml:space="preserve"> IF(C2&lt;=30, "26-30", IF(C2&lt;=35, "31-35", IF(C2&lt;=40, "36-40", "41-43")))</calculatedColumnFormula>
    </tableColumn>
    <tableColumn id="14" name="Spend Level" dataDxfId="72">
      <calculatedColumnFormula xml:space="preserve"> IF(Customer_Table[[#This Row],[Total Spend]] &gt;= 1000, "High", IF(Customer_Table[[#This Row],[Total Spend]]&gt;= 600, "Medium", "Low"))</calculatedColumnFormula>
    </tableColumn>
    <tableColumn id="15" name="Weeks Since Last Purchase" dataDxfId="71">
      <calculatedColumnFormula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topLeftCell="A2" zoomScale="70" zoomScaleNormal="70" workbookViewId="0">
      <selection activeCell="H24" sqref="H24"/>
    </sheetView>
  </sheetViews>
  <sheetFormatPr defaultRowHeight="15" x14ac:dyDescent="0.25"/>
  <cols>
    <col min="1" max="1" width="14.85546875" style="1" bestFit="1" customWidth="1"/>
    <col min="2" max="2" width="10.7109375" bestFit="1" customWidth="1"/>
    <col min="3" max="3" width="7.85546875" bestFit="1" customWidth="1"/>
    <col min="4" max="4" width="12.7109375" bestFit="1" customWidth="1"/>
    <col min="5" max="5" width="20" bestFit="1" customWidth="1"/>
    <col min="6" max="6" width="14.28515625" bestFit="1" customWidth="1"/>
    <col min="7" max="7" width="18.5703125" bestFit="1" customWidth="1"/>
    <col min="8" max="8" width="17.7109375" bestFit="1" customWidth="1"/>
    <col min="9" max="9" width="18.5703125" style="1" bestFit="1" customWidth="1"/>
    <col min="10" max="10" width="25.7109375" bestFit="1" customWidth="1"/>
    <col min="11" max="11" width="18.85546875" bestFit="1" customWidth="1"/>
    <col min="12" max="12" width="13.85546875" bestFit="1" customWidth="1"/>
    <col min="13" max="13" width="13.42578125" bestFit="1" customWidth="1"/>
    <col min="14" max="14" width="14.42578125" bestFit="1" customWidth="1"/>
    <col min="15" max="15" width="28.5703125" bestFit="1" customWidth="1"/>
  </cols>
  <sheetData>
    <row r="1" spans="1:15" x14ac:dyDescent="0.25">
      <c r="A1" s="1" t="s">
        <v>0</v>
      </c>
      <c r="B1" t="s">
        <v>1</v>
      </c>
      <c r="C1" t="s">
        <v>2</v>
      </c>
      <c r="D1" t="s">
        <v>3</v>
      </c>
      <c r="E1" t="s">
        <v>4</v>
      </c>
      <c r="F1" t="s">
        <v>5</v>
      </c>
      <c r="G1" t="s">
        <v>6</v>
      </c>
      <c r="H1" t="s">
        <v>7</v>
      </c>
      <c r="I1" s="1" t="s">
        <v>8</v>
      </c>
      <c r="J1" t="s">
        <v>9</v>
      </c>
      <c r="K1" t="s">
        <v>10</v>
      </c>
      <c r="L1" t="s">
        <v>41</v>
      </c>
      <c r="M1" t="s">
        <v>25</v>
      </c>
      <c r="N1" t="s">
        <v>26</v>
      </c>
      <c r="O1" t="s">
        <v>27</v>
      </c>
    </row>
    <row r="2" spans="1:15" x14ac:dyDescent="0.25">
      <c r="A2" s="1">
        <v>101</v>
      </c>
      <c r="B2" t="s">
        <v>11</v>
      </c>
      <c r="C2">
        <v>29</v>
      </c>
      <c r="D2" t="s">
        <v>12</v>
      </c>
      <c r="E2" t="s">
        <v>13</v>
      </c>
      <c r="F2" s="3">
        <v>1120.2</v>
      </c>
      <c r="G2">
        <v>14</v>
      </c>
      <c r="H2">
        <v>4.5999999999999996</v>
      </c>
      <c r="I2" s="1" t="b">
        <v>1</v>
      </c>
      <c r="J2">
        <v>25</v>
      </c>
      <c r="K2" t="s">
        <v>14</v>
      </c>
      <c r="L2" t="str">
        <f xml:space="preserve"> IF(AND(Customer_Table[[#This Row],[Days Since Last Purchase]]&gt;21,Customer_Table[[#This Row],[Satisfaction Level]] = "Unsatisfied"), "At Risk", "Low Risk")</f>
        <v>Low Risk</v>
      </c>
      <c r="M2" t="str">
        <f t="shared" ref="M2:M65" si="0" xml:space="preserve"> IF(C2&lt;=30, "26-30", IF(C2&lt;=35, "31-35", IF(C2&lt;=40, "36-40", "41-43")))</f>
        <v>26-30</v>
      </c>
      <c r="N2" t="str">
        <f xml:space="preserve"> IF(Customer_Table[[#This Row],[Total Spend]] &gt;= 1000, "High", IF(Customer_Table[[#This Row],[Total Spend]]&gt;= 600, "Medium", "Low"))</f>
        <v>High</v>
      </c>
      <c r="O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 spans="1:15" x14ac:dyDescent="0.25">
      <c r="A3" s="1">
        <v>102</v>
      </c>
      <c r="B3" t="s">
        <v>15</v>
      </c>
      <c r="C3">
        <v>34</v>
      </c>
      <c r="D3" t="s">
        <v>16</v>
      </c>
      <c r="E3" t="s">
        <v>17</v>
      </c>
      <c r="F3" s="3">
        <v>780.5</v>
      </c>
      <c r="G3">
        <v>11</v>
      </c>
      <c r="H3">
        <v>4.0999999999999996</v>
      </c>
      <c r="I3" s="1" t="b">
        <v>0</v>
      </c>
      <c r="J3">
        <v>18</v>
      </c>
      <c r="K3" t="s">
        <v>18</v>
      </c>
      <c r="L3" t="str">
        <f xml:space="preserve"> IF(AND(Customer_Table[[#This Row],[Days Since Last Purchase]]&gt;21,Customer_Table[[#This Row],[Satisfaction Level]] = "Unsatisfied"), "At Risk", "Low Risk")</f>
        <v>Low Risk</v>
      </c>
      <c r="M3" t="str">
        <f t="shared" si="0"/>
        <v>31-35</v>
      </c>
      <c r="N3" t="str">
        <f xml:space="preserve"> IF(Customer_Table[[#This Row],[Total Spend]] &gt;= 1000, "High", IF(Customer_Table[[#This Row],[Total Spend]]&gt;= 600, "Medium", "Low"))</f>
        <v>Medium</v>
      </c>
      <c r="O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4" spans="1:15" x14ac:dyDescent="0.25">
      <c r="A4" s="1">
        <v>103</v>
      </c>
      <c r="B4" t="s">
        <v>11</v>
      </c>
      <c r="C4">
        <v>43</v>
      </c>
      <c r="D4" t="s">
        <v>19</v>
      </c>
      <c r="E4" t="s">
        <v>20</v>
      </c>
      <c r="F4" s="3">
        <v>510.75</v>
      </c>
      <c r="G4">
        <v>9</v>
      </c>
      <c r="H4">
        <v>3.4</v>
      </c>
      <c r="I4" s="1" t="b">
        <v>1</v>
      </c>
      <c r="J4">
        <v>42</v>
      </c>
      <c r="K4" t="s">
        <v>21</v>
      </c>
      <c r="L4" t="str">
        <f xml:space="preserve"> IF(AND(Customer_Table[[#This Row],[Days Since Last Purchase]]&gt;21,Customer_Table[[#This Row],[Satisfaction Level]] = "Unsatisfied"), "At Risk", "Low Risk")</f>
        <v>At Risk</v>
      </c>
      <c r="M4" t="str">
        <f t="shared" si="0"/>
        <v>41-43</v>
      </c>
      <c r="N4" t="str">
        <f xml:space="preserve"> IF(Customer_Table[[#This Row],[Total Spend]] &gt;= 1000, "High", IF(Customer_Table[[#This Row],[Total Spend]]&gt;= 600, "Medium", "Low"))</f>
        <v>Low</v>
      </c>
      <c r="O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5" spans="1:15" x14ac:dyDescent="0.25">
      <c r="A5" s="1">
        <v>104</v>
      </c>
      <c r="B5" t="s">
        <v>15</v>
      </c>
      <c r="C5">
        <v>30</v>
      </c>
      <c r="D5" t="s">
        <v>22</v>
      </c>
      <c r="E5" t="s">
        <v>13</v>
      </c>
      <c r="F5" s="3">
        <v>1480.3</v>
      </c>
      <c r="G5">
        <v>19</v>
      </c>
      <c r="H5">
        <v>4.7</v>
      </c>
      <c r="I5" s="1" t="b">
        <v>0</v>
      </c>
      <c r="J5">
        <v>12</v>
      </c>
      <c r="K5" t="s">
        <v>14</v>
      </c>
      <c r="L5" t="str">
        <f xml:space="preserve"> IF(AND(Customer_Table[[#This Row],[Days Since Last Purchase]]&gt;21,Customer_Table[[#This Row],[Satisfaction Level]] = "Unsatisfied"), "At Risk", "Low Risk")</f>
        <v>Low Risk</v>
      </c>
      <c r="M5" t="str">
        <f t="shared" si="0"/>
        <v>26-30</v>
      </c>
      <c r="N5" t="str">
        <f xml:space="preserve"> IF(Customer_Table[[#This Row],[Total Spend]] &gt;= 1000, "High", IF(Customer_Table[[#This Row],[Total Spend]]&gt;= 600, "Medium", "Low"))</f>
        <v>High</v>
      </c>
      <c r="O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6" spans="1:15" x14ac:dyDescent="0.25">
      <c r="A6" s="1">
        <v>105</v>
      </c>
      <c r="B6" t="s">
        <v>15</v>
      </c>
      <c r="C6">
        <v>27</v>
      </c>
      <c r="D6" t="s">
        <v>23</v>
      </c>
      <c r="E6" t="s">
        <v>17</v>
      </c>
      <c r="F6" s="3">
        <v>720.4</v>
      </c>
      <c r="G6">
        <v>13</v>
      </c>
      <c r="H6">
        <v>4</v>
      </c>
      <c r="I6" s="1" t="b">
        <v>1</v>
      </c>
      <c r="J6">
        <v>55</v>
      </c>
      <c r="K6" t="s">
        <v>21</v>
      </c>
      <c r="L6" t="str">
        <f xml:space="preserve"> IF(AND(Customer_Table[[#This Row],[Days Since Last Purchase]]&gt;21,Customer_Table[[#This Row],[Satisfaction Level]] = "Unsatisfied"), "At Risk", "Low Risk")</f>
        <v>At Risk</v>
      </c>
      <c r="M6" t="str">
        <f t="shared" si="0"/>
        <v>26-30</v>
      </c>
      <c r="N6" t="str">
        <f xml:space="preserve"> IF(Customer_Table[[#This Row],[Total Spend]] &gt;= 1000, "High", IF(Customer_Table[[#This Row],[Total Spend]]&gt;= 600, "Medium", "Low"))</f>
        <v>Medium</v>
      </c>
      <c r="O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7" spans="1:15" x14ac:dyDescent="0.25">
      <c r="A7" s="1">
        <v>106</v>
      </c>
      <c r="B7" t="s">
        <v>11</v>
      </c>
      <c r="C7">
        <v>37</v>
      </c>
      <c r="D7" t="s">
        <v>24</v>
      </c>
      <c r="E7" t="s">
        <v>20</v>
      </c>
      <c r="F7" s="3">
        <v>440.8</v>
      </c>
      <c r="G7">
        <v>8</v>
      </c>
      <c r="H7">
        <v>3.1</v>
      </c>
      <c r="I7" s="1" t="b">
        <v>0</v>
      </c>
      <c r="J7">
        <v>22</v>
      </c>
      <c r="K7" t="s">
        <v>18</v>
      </c>
      <c r="L7" t="str">
        <f xml:space="preserve"> IF(AND(Customer_Table[[#This Row],[Days Since Last Purchase]]&gt;21,Customer_Table[[#This Row],[Satisfaction Level]] = "Unsatisfied"), "At Risk", "Low Risk")</f>
        <v>Low Risk</v>
      </c>
      <c r="M7" t="str">
        <f t="shared" si="0"/>
        <v>36-40</v>
      </c>
      <c r="N7" t="str">
        <f xml:space="preserve"> IF(Customer_Table[[#This Row],[Total Spend]] &gt;= 1000, "High", IF(Customer_Table[[#This Row],[Total Spend]]&gt;= 600, "Medium", "Low"))</f>
        <v>Low</v>
      </c>
      <c r="O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8" spans="1:15" x14ac:dyDescent="0.25">
      <c r="A8" s="1">
        <v>107</v>
      </c>
      <c r="B8" t="s">
        <v>11</v>
      </c>
      <c r="C8">
        <v>31</v>
      </c>
      <c r="D8" t="s">
        <v>12</v>
      </c>
      <c r="E8" t="s">
        <v>13</v>
      </c>
      <c r="F8" s="3">
        <v>1150.5999999999999</v>
      </c>
      <c r="G8">
        <v>15</v>
      </c>
      <c r="H8">
        <v>4.5</v>
      </c>
      <c r="I8" s="1" t="b">
        <v>1</v>
      </c>
      <c r="J8">
        <v>28</v>
      </c>
      <c r="K8" t="s">
        <v>14</v>
      </c>
      <c r="L8" t="str">
        <f xml:space="preserve"> IF(AND(Customer_Table[[#This Row],[Days Since Last Purchase]]&gt;21,Customer_Table[[#This Row],[Satisfaction Level]] = "Unsatisfied"), "At Risk", "Low Risk")</f>
        <v>Low Risk</v>
      </c>
      <c r="M8" t="str">
        <f t="shared" si="0"/>
        <v>31-35</v>
      </c>
      <c r="N8" t="str">
        <f xml:space="preserve"> IF(Customer_Table[[#This Row],[Total Spend]] &gt;= 1000, "High", IF(Customer_Table[[#This Row],[Total Spend]]&gt;= 600, "Medium", "Low"))</f>
        <v>High</v>
      </c>
      <c r="O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9" spans="1:15" x14ac:dyDescent="0.25">
      <c r="A9" s="1">
        <v>108</v>
      </c>
      <c r="B9" t="s">
        <v>15</v>
      </c>
      <c r="C9">
        <v>35</v>
      </c>
      <c r="D9" t="s">
        <v>16</v>
      </c>
      <c r="E9" t="s">
        <v>17</v>
      </c>
      <c r="F9" s="3">
        <v>800.9</v>
      </c>
      <c r="G9">
        <v>12</v>
      </c>
      <c r="H9">
        <v>4.2</v>
      </c>
      <c r="I9" s="1" t="b">
        <v>0</v>
      </c>
      <c r="J9">
        <v>14</v>
      </c>
      <c r="K9" t="s">
        <v>18</v>
      </c>
      <c r="L9" t="str">
        <f xml:space="preserve"> IF(AND(Customer_Table[[#This Row],[Days Since Last Purchase]]&gt;21,Customer_Table[[#This Row],[Satisfaction Level]] = "Unsatisfied"), "At Risk", "Low Risk")</f>
        <v>Low Risk</v>
      </c>
      <c r="M9" t="str">
        <f t="shared" si="0"/>
        <v>31-35</v>
      </c>
      <c r="N9" t="str">
        <f xml:space="preserve"> IF(Customer_Table[[#This Row],[Total Spend]] &gt;= 1000, "High", IF(Customer_Table[[#This Row],[Total Spend]]&gt;= 600, "Medium", "Low"))</f>
        <v>Medium</v>
      </c>
      <c r="O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0" spans="1:15" x14ac:dyDescent="0.25">
      <c r="A10" s="1">
        <v>109</v>
      </c>
      <c r="B10" t="s">
        <v>11</v>
      </c>
      <c r="C10">
        <v>41</v>
      </c>
      <c r="D10" t="s">
        <v>19</v>
      </c>
      <c r="E10" t="s">
        <v>20</v>
      </c>
      <c r="F10" s="3">
        <v>495.25</v>
      </c>
      <c r="G10">
        <v>10</v>
      </c>
      <c r="H10">
        <v>3.6</v>
      </c>
      <c r="I10" s="1" t="b">
        <v>1</v>
      </c>
      <c r="J10">
        <v>40</v>
      </c>
      <c r="K10" t="s">
        <v>21</v>
      </c>
      <c r="L10" t="str">
        <f xml:space="preserve"> IF(AND(Customer_Table[[#This Row],[Days Since Last Purchase]]&gt;21,Customer_Table[[#This Row],[Satisfaction Level]] = "Unsatisfied"), "At Risk", "Low Risk")</f>
        <v>At Risk</v>
      </c>
      <c r="M10" t="str">
        <f t="shared" si="0"/>
        <v>41-43</v>
      </c>
      <c r="N10" t="str">
        <f xml:space="preserve"> IF(Customer_Table[[#This Row],[Total Spend]] &gt;= 1000, "High", IF(Customer_Table[[#This Row],[Total Spend]]&gt;= 600, "Medium", "Low"))</f>
        <v>Low</v>
      </c>
      <c r="O1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1" spans="1:15" x14ac:dyDescent="0.25">
      <c r="A11" s="1">
        <v>110</v>
      </c>
      <c r="B11" t="s">
        <v>15</v>
      </c>
      <c r="C11">
        <v>28</v>
      </c>
      <c r="D11" t="s">
        <v>22</v>
      </c>
      <c r="E11" t="s">
        <v>13</v>
      </c>
      <c r="F11" s="3">
        <v>1520.1</v>
      </c>
      <c r="G11">
        <v>21</v>
      </c>
      <c r="H11">
        <v>4.8</v>
      </c>
      <c r="I11" s="1" t="b">
        <v>0</v>
      </c>
      <c r="J11">
        <v>9</v>
      </c>
      <c r="K11" t="s">
        <v>14</v>
      </c>
      <c r="L11" t="str">
        <f xml:space="preserve"> IF(AND(Customer_Table[[#This Row],[Days Since Last Purchase]]&gt;21,Customer_Table[[#This Row],[Satisfaction Level]] = "Unsatisfied"), "At Risk", "Low Risk")</f>
        <v>Low Risk</v>
      </c>
      <c r="M11" t="str">
        <f t="shared" si="0"/>
        <v>26-30</v>
      </c>
      <c r="N11" t="str">
        <f xml:space="preserve"> IF(Customer_Table[[#This Row],[Total Spend]] &gt;= 1000, "High", IF(Customer_Table[[#This Row],[Total Spend]]&gt;= 600, "Medium", "Low"))</f>
        <v>High</v>
      </c>
      <c r="O1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2" spans="1:15" x14ac:dyDescent="0.25">
      <c r="A12" s="1">
        <v>111</v>
      </c>
      <c r="B12" t="s">
        <v>15</v>
      </c>
      <c r="C12">
        <v>32</v>
      </c>
      <c r="D12" t="s">
        <v>23</v>
      </c>
      <c r="E12" t="s">
        <v>17</v>
      </c>
      <c r="F12" s="3">
        <v>690.3</v>
      </c>
      <c r="G12">
        <v>11</v>
      </c>
      <c r="H12">
        <v>3.8</v>
      </c>
      <c r="I12" s="1" t="b">
        <v>1</v>
      </c>
      <c r="J12">
        <v>34</v>
      </c>
      <c r="K12" t="s">
        <v>21</v>
      </c>
      <c r="L12" t="str">
        <f xml:space="preserve"> IF(AND(Customer_Table[[#This Row],[Days Since Last Purchase]]&gt;21,Customer_Table[[#This Row],[Satisfaction Level]] = "Unsatisfied"), "At Risk", "Low Risk")</f>
        <v>At Risk</v>
      </c>
      <c r="M12" t="str">
        <f t="shared" si="0"/>
        <v>31-35</v>
      </c>
      <c r="N12" t="str">
        <f xml:space="preserve"> IF(Customer_Table[[#This Row],[Total Spend]] &gt;= 1000, "High", IF(Customer_Table[[#This Row],[Total Spend]]&gt;= 600, "Medium", "Low"))</f>
        <v>Medium</v>
      </c>
      <c r="O1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3" spans="1:15" x14ac:dyDescent="0.25">
      <c r="A13" s="1">
        <v>112</v>
      </c>
      <c r="B13" t="s">
        <v>11</v>
      </c>
      <c r="C13">
        <v>36</v>
      </c>
      <c r="D13" t="s">
        <v>24</v>
      </c>
      <c r="E13" t="s">
        <v>20</v>
      </c>
      <c r="F13" s="3">
        <v>470.5</v>
      </c>
      <c r="G13">
        <v>7</v>
      </c>
      <c r="H13">
        <v>3.2</v>
      </c>
      <c r="I13" s="1" t="b">
        <v>0</v>
      </c>
      <c r="J13">
        <v>20</v>
      </c>
      <c r="K13" t="s">
        <v>18</v>
      </c>
      <c r="L13" t="str">
        <f xml:space="preserve"> IF(AND(Customer_Table[[#This Row],[Days Since Last Purchase]]&gt;21,Customer_Table[[#This Row],[Satisfaction Level]] = "Unsatisfied"), "At Risk", "Low Risk")</f>
        <v>Low Risk</v>
      </c>
      <c r="M13" t="str">
        <f t="shared" si="0"/>
        <v>36-40</v>
      </c>
      <c r="N13" t="str">
        <f xml:space="preserve"> IF(Customer_Table[[#This Row],[Total Spend]] &gt;= 1000, "High", IF(Customer_Table[[#This Row],[Total Spend]]&gt;= 600, "Medium", "Low"))</f>
        <v>Low</v>
      </c>
      <c r="O1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4" spans="1:15" x14ac:dyDescent="0.25">
      <c r="A14" s="1">
        <v>113</v>
      </c>
      <c r="B14" t="s">
        <v>11</v>
      </c>
      <c r="C14">
        <v>30</v>
      </c>
      <c r="D14" t="s">
        <v>12</v>
      </c>
      <c r="E14" t="s">
        <v>13</v>
      </c>
      <c r="F14" s="3">
        <v>1200.8</v>
      </c>
      <c r="G14">
        <v>16</v>
      </c>
      <c r="H14">
        <v>4.3</v>
      </c>
      <c r="I14" s="1" t="b">
        <v>1</v>
      </c>
      <c r="J14">
        <v>21</v>
      </c>
      <c r="K14" t="s">
        <v>14</v>
      </c>
      <c r="L14" t="str">
        <f xml:space="preserve"> IF(AND(Customer_Table[[#This Row],[Days Since Last Purchase]]&gt;21,Customer_Table[[#This Row],[Satisfaction Level]] = "Unsatisfied"), "At Risk", "Low Risk")</f>
        <v>Low Risk</v>
      </c>
      <c r="M14" t="str">
        <f t="shared" si="0"/>
        <v>26-30</v>
      </c>
      <c r="N14" t="str">
        <f xml:space="preserve"> IF(Customer_Table[[#This Row],[Total Spend]] &gt;= 1000, "High", IF(Customer_Table[[#This Row],[Total Spend]]&gt;= 600, "Medium", "Low"))</f>
        <v>High</v>
      </c>
      <c r="O1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5" spans="1:15" x14ac:dyDescent="0.25">
      <c r="A15" s="1">
        <v>114</v>
      </c>
      <c r="B15" t="s">
        <v>15</v>
      </c>
      <c r="C15">
        <v>33</v>
      </c>
      <c r="D15" t="s">
        <v>16</v>
      </c>
      <c r="E15" t="s">
        <v>17</v>
      </c>
      <c r="F15" s="3">
        <v>820.75</v>
      </c>
      <c r="G15">
        <v>13</v>
      </c>
      <c r="H15">
        <v>4.4000000000000004</v>
      </c>
      <c r="I15" s="1" t="b">
        <v>0</v>
      </c>
      <c r="J15">
        <v>15</v>
      </c>
      <c r="K15" t="s">
        <v>14</v>
      </c>
      <c r="L15" t="str">
        <f xml:space="preserve"> IF(AND(Customer_Table[[#This Row],[Days Since Last Purchase]]&gt;21,Customer_Table[[#This Row],[Satisfaction Level]] = "Unsatisfied"), "At Risk", "Low Risk")</f>
        <v>Low Risk</v>
      </c>
      <c r="M15" t="str">
        <f t="shared" si="0"/>
        <v>31-35</v>
      </c>
      <c r="N15" t="str">
        <f xml:space="preserve"> IF(Customer_Table[[#This Row],[Total Spend]] &gt;= 1000, "High", IF(Customer_Table[[#This Row],[Total Spend]]&gt;= 600, "Medium", "Low"))</f>
        <v>Medium</v>
      </c>
      <c r="O1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6" spans="1:15" x14ac:dyDescent="0.25">
      <c r="A16" s="1">
        <v>115</v>
      </c>
      <c r="B16" t="s">
        <v>11</v>
      </c>
      <c r="C16">
        <v>42</v>
      </c>
      <c r="D16" t="s">
        <v>19</v>
      </c>
      <c r="E16" t="s">
        <v>20</v>
      </c>
      <c r="F16" s="3">
        <v>530.4</v>
      </c>
      <c r="G16">
        <v>9</v>
      </c>
      <c r="H16">
        <v>3.5</v>
      </c>
      <c r="I16" s="1" t="b">
        <v>1</v>
      </c>
      <c r="J16">
        <v>38</v>
      </c>
      <c r="K16" t="s">
        <v>21</v>
      </c>
      <c r="L16" t="str">
        <f xml:space="preserve"> IF(AND(Customer_Table[[#This Row],[Days Since Last Purchase]]&gt;21,Customer_Table[[#This Row],[Satisfaction Level]] = "Unsatisfied"), "At Risk", "Low Risk")</f>
        <v>At Risk</v>
      </c>
      <c r="M16" t="str">
        <f t="shared" si="0"/>
        <v>41-43</v>
      </c>
      <c r="N16" t="str">
        <f xml:space="preserve"> IF(Customer_Table[[#This Row],[Total Spend]] &gt;= 1000, "High", IF(Customer_Table[[#This Row],[Total Spend]]&gt;= 600, "Medium", "Low"))</f>
        <v>Low</v>
      </c>
      <c r="O1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7" spans="1:15" x14ac:dyDescent="0.25">
      <c r="A17" s="1">
        <v>116</v>
      </c>
      <c r="B17" t="s">
        <v>15</v>
      </c>
      <c r="C17">
        <v>29</v>
      </c>
      <c r="D17" t="s">
        <v>22</v>
      </c>
      <c r="E17" t="s">
        <v>13</v>
      </c>
      <c r="F17" s="3">
        <v>1360.2</v>
      </c>
      <c r="G17">
        <v>18</v>
      </c>
      <c r="H17">
        <v>4.9000000000000004</v>
      </c>
      <c r="I17" s="1" t="b">
        <v>0</v>
      </c>
      <c r="J17">
        <v>11</v>
      </c>
      <c r="K17" t="s">
        <v>14</v>
      </c>
      <c r="L17" t="str">
        <f xml:space="preserve"> IF(AND(Customer_Table[[#This Row],[Days Since Last Purchase]]&gt;21,Customer_Table[[#This Row],[Satisfaction Level]] = "Unsatisfied"), "At Risk", "Low Risk")</f>
        <v>Low Risk</v>
      </c>
      <c r="M17" t="str">
        <f t="shared" si="0"/>
        <v>26-30</v>
      </c>
      <c r="N17" t="str">
        <f xml:space="preserve"> IF(Customer_Table[[#This Row],[Total Spend]] &gt;= 1000, "High", IF(Customer_Table[[#This Row],[Total Spend]]&gt;= 600, "Medium", "Low"))</f>
        <v>High</v>
      </c>
      <c r="O1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8" spans="1:15" x14ac:dyDescent="0.25">
      <c r="A18" s="1">
        <v>117</v>
      </c>
      <c r="B18" t="s">
        <v>15</v>
      </c>
      <c r="C18">
        <v>26</v>
      </c>
      <c r="D18" t="s">
        <v>23</v>
      </c>
      <c r="E18" t="s">
        <v>17</v>
      </c>
      <c r="F18" s="3">
        <v>700.6</v>
      </c>
      <c r="G18">
        <v>12</v>
      </c>
      <c r="H18">
        <v>3.7</v>
      </c>
      <c r="I18" s="1" t="b">
        <v>1</v>
      </c>
      <c r="J18">
        <v>48</v>
      </c>
      <c r="K18" t="s">
        <v>21</v>
      </c>
      <c r="L18" t="str">
        <f xml:space="preserve"> IF(AND(Customer_Table[[#This Row],[Days Since Last Purchase]]&gt;21,Customer_Table[[#This Row],[Satisfaction Level]] = "Unsatisfied"), "At Risk", "Low Risk")</f>
        <v>At Risk</v>
      </c>
      <c r="M18" t="str">
        <f t="shared" si="0"/>
        <v>26-30</v>
      </c>
      <c r="N18" t="str">
        <f xml:space="preserve"> IF(Customer_Table[[#This Row],[Total Spend]] &gt;= 1000, "High", IF(Customer_Table[[#This Row],[Total Spend]]&gt;= 600, "Medium", "Low"))</f>
        <v>Medium</v>
      </c>
      <c r="O1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19" spans="1:15" x14ac:dyDescent="0.25">
      <c r="A19" s="1">
        <v>118</v>
      </c>
      <c r="B19" t="s">
        <v>11</v>
      </c>
      <c r="C19">
        <v>38</v>
      </c>
      <c r="D19" t="s">
        <v>24</v>
      </c>
      <c r="E19" t="s">
        <v>20</v>
      </c>
      <c r="F19" s="3">
        <v>450.9</v>
      </c>
      <c r="G19">
        <v>8</v>
      </c>
      <c r="H19">
        <v>3</v>
      </c>
      <c r="I19" s="1" t="b">
        <v>0</v>
      </c>
      <c r="J19">
        <v>25</v>
      </c>
      <c r="K19" t="s">
        <v>18</v>
      </c>
      <c r="L19" t="str">
        <f xml:space="preserve"> IF(AND(Customer_Table[[#This Row],[Days Since Last Purchase]]&gt;21,Customer_Table[[#This Row],[Satisfaction Level]] = "Unsatisfied"), "At Risk", "Low Risk")</f>
        <v>Low Risk</v>
      </c>
      <c r="M19" t="str">
        <f t="shared" si="0"/>
        <v>36-40</v>
      </c>
      <c r="N19" t="str">
        <f xml:space="preserve"> IF(Customer_Table[[#This Row],[Total Spend]] &gt;= 1000, "High", IF(Customer_Table[[#This Row],[Total Spend]]&gt;= 600, "Medium", "Low"))</f>
        <v>Low</v>
      </c>
      <c r="O1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0" spans="1:15" x14ac:dyDescent="0.25">
      <c r="A20" s="1">
        <v>119</v>
      </c>
      <c r="B20" t="s">
        <v>11</v>
      </c>
      <c r="C20">
        <v>32</v>
      </c>
      <c r="D20" t="s">
        <v>12</v>
      </c>
      <c r="E20" t="s">
        <v>13</v>
      </c>
      <c r="F20" s="3">
        <v>1170.3</v>
      </c>
      <c r="G20">
        <v>14</v>
      </c>
      <c r="H20">
        <v>4.7</v>
      </c>
      <c r="I20" s="1" t="b">
        <v>1</v>
      </c>
      <c r="J20">
        <v>29</v>
      </c>
      <c r="K20" t="s">
        <v>14</v>
      </c>
      <c r="L20" t="str">
        <f xml:space="preserve"> IF(AND(Customer_Table[[#This Row],[Days Since Last Purchase]]&gt;21,Customer_Table[[#This Row],[Satisfaction Level]] = "Unsatisfied"), "At Risk", "Low Risk")</f>
        <v>Low Risk</v>
      </c>
      <c r="M20" t="str">
        <f t="shared" si="0"/>
        <v>31-35</v>
      </c>
      <c r="N20" t="str">
        <f xml:space="preserve"> IF(Customer_Table[[#This Row],[Total Spend]] &gt;= 1000, "High", IF(Customer_Table[[#This Row],[Total Spend]]&gt;= 600, "Medium", "Low"))</f>
        <v>High</v>
      </c>
      <c r="O2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1" spans="1:15" x14ac:dyDescent="0.25">
      <c r="A21" s="1">
        <v>120</v>
      </c>
      <c r="B21" t="s">
        <v>15</v>
      </c>
      <c r="C21">
        <v>34</v>
      </c>
      <c r="D21" t="s">
        <v>16</v>
      </c>
      <c r="E21" t="s">
        <v>17</v>
      </c>
      <c r="F21" s="3">
        <v>790.2</v>
      </c>
      <c r="G21">
        <v>11</v>
      </c>
      <c r="H21">
        <v>4</v>
      </c>
      <c r="I21" s="1" t="b">
        <v>0</v>
      </c>
      <c r="J21">
        <v>16</v>
      </c>
      <c r="K21" t="s">
        <v>18</v>
      </c>
      <c r="L21" t="str">
        <f xml:space="preserve"> IF(AND(Customer_Table[[#This Row],[Days Since Last Purchase]]&gt;21,Customer_Table[[#This Row],[Satisfaction Level]] = "Unsatisfied"), "At Risk", "Low Risk")</f>
        <v>Low Risk</v>
      </c>
      <c r="M21" t="str">
        <f t="shared" si="0"/>
        <v>31-35</v>
      </c>
      <c r="N21" t="str">
        <f xml:space="preserve"> IF(Customer_Table[[#This Row],[Total Spend]] &gt;= 1000, "High", IF(Customer_Table[[#This Row],[Total Spend]]&gt;= 600, "Medium", "Low"))</f>
        <v>Medium</v>
      </c>
      <c r="O2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2" spans="1:15" x14ac:dyDescent="0.25">
      <c r="A22" s="1">
        <v>121</v>
      </c>
      <c r="B22" t="s">
        <v>11</v>
      </c>
      <c r="C22">
        <v>43</v>
      </c>
      <c r="D22" t="s">
        <v>19</v>
      </c>
      <c r="E22" t="s">
        <v>20</v>
      </c>
      <c r="F22" s="3">
        <v>505.75</v>
      </c>
      <c r="G22">
        <v>10</v>
      </c>
      <c r="H22">
        <v>3.3</v>
      </c>
      <c r="I22" s="1" t="b">
        <v>1</v>
      </c>
      <c r="J22">
        <v>41</v>
      </c>
      <c r="K22" t="s">
        <v>21</v>
      </c>
      <c r="L22" t="str">
        <f xml:space="preserve"> IF(AND(Customer_Table[[#This Row],[Days Since Last Purchase]]&gt;21,Customer_Table[[#This Row],[Satisfaction Level]] = "Unsatisfied"), "At Risk", "Low Risk")</f>
        <v>At Risk</v>
      </c>
      <c r="M22" t="str">
        <f t="shared" si="0"/>
        <v>41-43</v>
      </c>
      <c r="N22" t="str">
        <f xml:space="preserve"> IF(Customer_Table[[#This Row],[Total Spend]] &gt;= 1000, "High", IF(Customer_Table[[#This Row],[Total Spend]]&gt;= 600, "Medium", "Low"))</f>
        <v>Low</v>
      </c>
      <c r="O2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3" spans="1:15" x14ac:dyDescent="0.25">
      <c r="A23" s="1">
        <v>122</v>
      </c>
      <c r="B23" t="s">
        <v>15</v>
      </c>
      <c r="C23">
        <v>30</v>
      </c>
      <c r="D23" t="s">
        <v>22</v>
      </c>
      <c r="E23" t="s">
        <v>13</v>
      </c>
      <c r="F23" s="3">
        <v>1470.5</v>
      </c>
      <c r="G23">
        <v>20</v>
      </c>
      <c r="H23">
        <v>4.8</v>
      </c>
      <c r="I23" s="1" t="b">
        <v>0</v>
      </c>
      <c r="J23">
        <v>13</v>
      </c>
      <c r="K23" t="s">
        <v>14</v>
      </c>
      <c r="L23" t="str">
        <f xml:space="preserve"> IF(AND(Customer_Table[[#This Row],[Days Since Last Purchase]]&gt;21,Customer_Table[[#This Row],[Satisfaction Level]] = "Unsatisfied"), "At Risk", "Low Risk")</f>
        <v>Low Risk</v>
      </c>
      <c r="M23" t="str">
        <f t="shared" si="0"/>
        <v>26-30</v>
      </c>
      <c r="N23" t="str">
        <f xml:space="preserve"> IF(Customer_Table[[#This Row],[Total Spend]] &gt;= 1000, "High", IF(Customer_Table[[#This Row],[Total Spend]]&gt;= 600, "Medium", "Low"))</f>
        <v>High</v>
      </c>
      <c r="O2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4" spans="1:15" x14ac:dyDescent="0.25">
      <c r="A24" s="1">
        <v>123</v>
      </c>
      <c r="B24" t="s">
        <v>15</v>
      </c>
      <c r="C24">
        <v>27</v>
      </c>
      <c r="D24" t="s">
        <v>23</v>
      </c>
      <c r="E24" t="s">
        <v>17</v>
      </c>
      <c r="F24" s="3">
        <v>710.4</v>
      </c>
      <c r="G24">
        <v>13</v>
      </c>
      <c r="H24">
        <v>4.0999999999999996</v>
      </c>
      <c r="I24" s="1" t="b">
        <v>1</v>
      </c>
      <c r="J24">
        <v>54</v>
      </c>
      <c r="K24" t="s">
        <v>21</v>
      </c>
      <c r="L24" t="str">
        <f xml:space="preserve"> IF(AND(Customer_Table[[#This Row],[Days Since Last Purchase]]&gt;21,Customer_Table[[#This Row],[Satisfaction Level]] = "Unsatisfied"), "At Risk", "Low Risk")</f>
        <v>At Risk</v>
      </c>
      <c r="M24" t="str">
        <f t="shared" si="0"/>
        <v>26-30</v>
      </c>
      <c r="N24" t="str">
        <f xml:space="preserve"> IF(Customer_Table[[#This Row],[Total Spend]] &gt;= 1000, "High", IF(Customer_Table[[#This Row],[Total Spend]]&gt;= 600, "Medium", "Low"))</f>
        <v>Medium</v>
      </c>
      <c r="O2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5" spans="1:15" x14ac:dyDescent="0.25">
      <c r="A25" s="1">
        <v>124</v>
      </c>
      <c r="B25" t="s">
        <v>11</v>
      </c>
      <c r="C25">
        <v>37</v>
      </c>
      <c r="D25" t="s">
        <v>24</v>
      </c>
      <c r="E25" t="s">
        <v>20</v>
      </c>
      <c r="F25" s="3">
        <v>430.8</v>
      </c>
      <c r="G25">
        <v>7</v>
      </c>
      <c r="H25">
        <v>3.4</v>
      </c>
      <c r="I25" s="1" t="b">
        <v>0</v>
      </c>
      <c r="J25">
        <v>23</v>
      </c>
      <c r="K25" t="s">
        <v>18</v>
      </c>
      <c r="L25" t="str">
        <f xml:space="preserve"> IF(AND(Customer_Table[[#This Row],[Days Since Last Purchase]]&gt;21,Customer_Table[[#This Row],[Satisfaction Level]] = "Unsatisfied"), "At Risk", "Low Risk")</f>
        <v>Low Risk</v>
      </c>
      <c r="M25" t="str">
        <f t="shared" si="0"/>
        <v>36-40</v>
      </c>
      <c r="N25" t="str">
        <f xml:space="preserve"> IF(Customer_Table[[#This Row],[Total Spend]] &gt;= 1000, "High", IF(Customer_Table[[#This Row],[Total Spend]]&gt;= 600, "Medium", "Low"))</f>
        <v>Low</v>
      </c>
      <c r="O2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6" spans="1:15" x14ac:dyDescent="0.25">
      <c r="A26" s="1">
        <v>125</v>
      </c>
      <c r="B26" t="s">
        <v>11</v>
      </c>
      <c r="C26">
        <v>31</v>
      </c>
      <c r="D26" t="s">
        <v>12</v>
      </c>
      <c r="E26" t="s">
        <v>13</v>
      </c>
      <c r="F26" s="3">
        <v>1140.5999999999999</v>
      </c>
      <c r="G26">
        <v>15</v>
      </c>
      <c r="H26">
        <v>4.5999999999999996</v>
      </c>
      <c r="I26" s="1" t="b">
        <v>1</v>
      </c>
      <c r="J26">
        <v>27</v>
      </c>
      <c r="K26" t="s">
        <v>14</v>
      </c>
      <c r="L26" t="str">
        <f xml:space="preserve"> IF(AND(Customer_Table[[#This Row],[Days Since Last Purchase]]&gt;21,Customer_Table[[#This Row],[Satisfaction Level]] = "Unsatisfied"), "At Risk", "Low Risk")</f>
        <v>Low Risk</v>
      </c>
      <c r="M26" t="str">
        <f t="shared" si="0"/>
        <v>31-35</v>
      </c>
      <c r="N26" t="str">
        <f xml:space="preserve"> IF(Customer_Table[[#This Row],[Total Spend]] &gt;= 1000, "High", IF(Customer_Table[[#This Row],[Total Spend]]&gt;= 600, "Medium", "Low"))</f>
        <v>High</v>
      </c>
      <c r="O2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7" spans="1:15" x14ac:dyDescent="0.25">
      <c r="A27" s="1">
        <v>126</v>
      </c>
      <c r="B27" t="s">
        <v>15</v>
      </c>
      <c r="C27">
        <v>35</v>
      </c>
      <c r="D27" t="s">
        <v>16</v>
      </c>
      <c r="E27" t="s">
        <v>17</v>
      </c>
      <c r="F27" s="3">
        <v>810.9</v>
      </c>
      <c r="G27">
        <v>12</v>
      </c>
      <c r="H27">
        <v>4.3</v>
      </c>
      <c r="I27" s="1" t="b">
        <v>0</v>
      </c>
      <c r="J27">
        <v>13</v>
      </c>
      <c r="K27" t="s">
        <v>18</v>
      </c>
      <c r="L27" t="str">
        <f xml:space="preserve"> IF(AND(Customer_Table[[#This Row],[Days Since Last Purchase]]&gt;21,Customer_Table[[#This Row],[Satisfaction Level]] = "Unsatisfied"), "At Risk", "Low Risk")</f>
        <v>Low Risk</v>
      </c>
      <c r="M27" t="str">
        <f t="shared" si="0"/>
        <v>31-35</v>
      </c>
      <c r="N27" t="str">
        <f xml:space="preserve"> IF(Customer_Table[[#This Row],[Total Spend]] &gt;= 1000, "High", IF(Customer_Table[[#This Row],[Total Spend]]&gt;= 600, "Medium", "Low"))</f>
        <v>Medium</v>
      </c>
      <c r="O2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8" spans="1:15" x14ac:dyDescent="0.25">
      <c r="A28" s="1">
        <v>127</v>
      </c>
      <c r="B28" t="s">
        <v>11</v>
      </c>
      <c r="C28">
        <v>41</v>
      </c>
      <c r="D28" t="s">
        <v>19</v>
      </c>
      <c r="E28" t="s">
        <v>20</v>
      </c>
      <c r="F28" s="3">
        <v>485.25</v>
      </c>
      <c r="G28">
        <v>9</v>
      </c>
      <c r="H28">
        <v>3.6</v>
      </c>
      <c r="I28" s="1" t="b">
        <v>1</v>
      </c>
      <c r="J28">
        <v>39</v>
      </c>
      <c r="K28" t="s">
        <v>21</v>
      </c>
      <c r="L28" t="str">
        <f xml:space="preserve"> IF(AND(Customer_Table[[#This Row],[Days Since Last Purchase]]&gt;21,Customer_Table[[#This Row],[Satisfaction Level]] = "Unsatisfied"), "At Risk", "Low Risk")</f>
        <v>At Risk</v>
      </c>
      <c r="M28" t="str">
        <f t="shared" si="0"/>
        <v>41-43</v>
      </c>
      <c r="N28" t="str">
        <f xml:space="preserve"> IF(Customer_Table[[#This Row],[Total Spend]] &gt;= 1000, "High", IF(Customer_Table[[#This Row],[Total Spend]]&gt;= 600, "Medium", "Low"))</f>
        <v>Low</v>
      </c>
      <c r="O2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9" spans="1:15" x14ac:dyDescent="0.25">
      <c r="A29" s="1">
        <v>128</v>
      </c>
      <c r="B29" t="s">
        <v>15</v>
      </c>
      <c r="C29">
        <v>28</v>
      </c>
      <c r="D29" t="s">
        <v>22</v>
      </c>
      <c r="E29" t="s">
        <v>13</v>
      </c>
      <c r="F29" s="3">
        <v>1500.1</v>
      </c>
      <c r="G29">
        <v>21</v>
      </c>
      <c r="H29">
        <v>4.9000000000000004</v>
      </c>
      <c r="I29" s="1" t="b">
        <v>0</v>
      </c>
      <c r="J29">
        <v>10</v>
      </c>
      <c r="K29" t="s">
        <v>14</v>
      </c>
      <c r="L29" t="str">
        <f xml:space="preserve"> IF(AND(Customer_Table[[#This Row],[Days Since Last Purchase]]&gt;21,Customer_Table[[#This Row],[Satisfaction Level]] = "Unsatisfied"), "At Risk", "Low Risk")</f>
        <v>Low Risk</v>
      </c>
      <c r="M29" t="str">
        <f t="shared" si="0"/>
        <v>26-30</v>
      </c>
      <c r="N29" t="str">
        <f xml:space="preserve"> IF(Customer_Table[[#This Row],[Total Spend]] &gt;= 1000, "High", IF(Customer_Table[[#This Row],[Total Spend]]&gt;= 600, "Medium", "Low"))</f>
        <v>High</v>
      </c>
      <c r="O2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0" spans="1:15" x14ac:dyDescent="0.25">
      <c r="A30" s="1">
        <v>129</v>
      </c>
      <c r="B30" t="s">
        <v>15</v>
      </c>
      <c r="C30">
        <v>32</v>
      </c>
      <c r="D30" t="s">
        <v>23</v>
      </c>
      <c r="E30" t="s">
        <v>17</v>
      </c>
      <c r="F30" s="3">
        <v>670.3</v>
      </c>
      <c r="G30">
        <v>10</v>
      </c>
      <c r="H30">
        <v>3.8</v>
      </c>
      <c r="I30" s="1" t="b">
        <v>1</v>
      </c>
      <c r="J30">
        <v>33</v>
      </c>
      <c r="K30" t="s">
        <v>21</v>
      </c>
      <c r="L30" t="str">
        <f xml:space="preserve"> IF(AND(Customer_Table[[#This Row],[Days Since Last Purchase]]&gt;21,Customer_Table[[#This Row],[Satisfaction Level]] = "Unsatisfied"), "At Risk", "Low Risk")</f>
        <v>At Risk</v>
      </c>
      <c r="M30" t="str">
        <f t="shared" si="0"/>
        <v>31-35</v>
      </c>
      <c r="N30" t="str">
        <f xml:space="preserve"> IF(Customer_Table[[#This Row],[Total Spend]] &gt;= 1000, "High", IF(Customer_Table[[#This Row],[Total Spend]]&gt;= 600, "Medium", "Low"))</f>
        <v>Medium</v>
      </c>
      <c r="O3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1" spans="1:15" x14ac:dyDescent="0.25">
      <c r="A31" s="1">
        <v>130</v>
      </c>
      <c r="B31" t="s">
        <v>11</v>
      </c>
      <c r="C31">
        <v>36</v>
      </c>
      <c r="D31" t="s">
        <v>24</v>
      </c>
      <c r="E31" t="s">
        <v>20</v>
      </c>
      <c r="F31" s="3">
        <v>460.5</v>
      </c>
      <c r="G31">
        <v>8</v>
      </c>
      <c r="H31">
        <v>3.1</v>
      </c>
      <c r="I31" s="1" t="b">
        <v>0</v>
      </c>
      <c r="J31">
        <v>19</v>
      </c>
      <c r="K31" t="s">
        <v>18</v>
      </c>
      <c r="L31" t="str">
        <f xml:space="preserve"> IF(AND(Customer_Table[[#This Row],[Days Since Last Purchase]]&gt;21,Customer_Table[[#This Row],[Satisfaction Level]] = "Unsatisfied"), "At Risk", "Low Risk")</f>
        <v>Low Risk</v>
      </c>
      <c r="M31" t="str">
        <f t="shared" si="0"/>
        <v>36-40</v>
      </c>
      <c r="N31" t="str">
        <f xml:space="preserve"> IF(Customer_Table[[#This Row],[Total Spend]] &gt;= 1000, "High", IF(Customer_Table[[#This Row],[Total Spend]]&gt;= 600, "Medium", "Low"))</f>
        <v>Low</v>
      </c>
      <c r="O3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2" spans="1:15" x14ac:dyDescent="0.25">
      <c r="A32" s="1">
        <v>131</v>
      </c>
      <c r="B32" t="s">
        <v>11</v>
      </c>
      <c r="C32">
        <v>30</v>
      </c>
      <c r="D32" t="s">
        <v>12</v>
      </c>
      <c r="E32" t="s">
        <v>13</v>
      </c>
      <c r="F32" s="3">
        <v>1190.8</v>
      </c>
      <c r="G32">
        <v>16</v>
      </c>
      <c r="H32">
        <v>4.5</v>
      </c>
      <c r="I32" s="1" t="b">
        <v>1</v>
      </c>
      <c r="J32">
        <v>20</v>
      </c>
      <c r="K32" t="s">
        <v>14</v>
      </c>
      <c r="L32" t="str">
        <f xml:space="preserve"> IF(AND(Customer_Table[[#This Row],[Days Since Last Purchase]]&gt;21,Customer_Table[[#This Row],[Satisfaction Level]] = "Unsatisfied"), "At Risk", "Low Risk")</f>
        <v>Low Risk</v>
      </c>
      <c r="M32" t="str">
        <f t="shared" si="0"/>
        <v>26-30</v>
      </c>
      <c r="N32" t="str">
        <f xml:space="preserve"> IF(Customer_Table[[#This Row],[Total Spend]] &gt;= 1000, "High", IF(Customer_Table[[#This Row],[Total Spend]]&gt;= 600, "Medium", "Low"))</f>
        <v>High</v>
      </c>
      <c r="O3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3" spans="1:15" x14ac:dyDescent="0.25">
      <c r="A33" s="1">
        <v>132</v>
      </c>
      <c r="B33" t="s">
        <v>15</v>
      </c>
      <c r="C33">
        <v>33</v>
      </c>
      <c r="D33" t="s">
        <v>16</v>
      </c>
      <c r="E33" t="s">
        <v>17</v>
      </c>
      <c r="F33" s="3">
        <v>830.75</v>
      </c>
      <c r="G33">
        <v>13</v>
      </c>
      <c r="H33">
        <v>4.2</v>
      </c>
      <c r="I33" s="1" t="b">
        <v>0</v>
      </c>
      <c r="J33">
        <v>14</v>
      </c>
      <c r="K33" t="s">
        <v>14</v>
      </c>
      <c r="L33" t="str">
        <f xml:space="preserve"> IF(AND(Customer_Table[[#This Row],[Days Since Last Purchase]]&gt;21,Customer_Table[[#This Row],[Satisfaction Level]] = "Unsatisfied"), "At Risk", "Low Risk")</f>
        <v>Low Risk</v>
      </c>
      <c r="M33" t="str">
        <f t="shared" si="0"/>
        <v>31-35</v>
      </c>
      <c r="N33" t="str">
        <f xml:space="preserve"> IF(Customer_Table[[#This Row],[Total Spend]] &gt;= 1000, "High", IF(Customer_Table[[#This Row],[Total Spend]]&gt;= 600, "Medium", "Low"))</f>
        <v>Medium</v>
      </c>
      <c r="O3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4" spans="1:15" x14ac:dyDescent="0.25">
      <c r="A34" s="1">
        <v>133</v>
      </c>
      <c r="B34" t="s">
        <v>11</v>
      </c>
      <c r="C34">
        <v>42</v>
      </c>
      <c r="D34" t="s">
        <v>19</v>
      </c>
      <c r="E34" t="s">
        <v>20</v>
      </c>
      <c r="F34" s="3">
        <v>520.4</v>
      </c>
      <c r="G34">
        <v>9</v>
      </c>
      <c r="H34">
        <v>3.5</v>
      </c>
      <c r="I34" s="1" t="b">
        <v>1</v>
      </c>
      <c r="J34">
        <v>37</v>
      </c>
      <c r="K34" t="s">
        <v>21</v>
      </c>
      <c r="L34" t="str">
        <f xml:space="preserve"> IF(AND(Customer_Table[[#This Row],[Days Since Last Purchase]]&gt;21,Customer_Table[[#This Row],[Satisfaction Level]] = "Unsatisfied"), "At Risk", "Low Risk")</f>
        <v>At Risk</v>
      </c>
      <c r="M34" t="str">
        <f t="shared" si="0"/>
        <v>41-43</v>
      </c>
      <c r="N34" t="str">
        <f xml:space="preserve"> IF(Customer_Table[[#This Row],[Total Spend]] &gt;= 1000, "High", IF(Customer_Table[[#This Row],[Total Spend]]&gt;= 600, "Medium", "Low"))</f>
        <v>Low</v>
      </c>
      <c r="O3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5" spans="1:15" x14ac:dyDescent="0.25">
      <c r="A35" s="1">
        <v>134</v>
      </c>
      <c r="B35" t="s">
        <v>15</v>
      </c>
      <c r="C35">
        <v>29</v>
      </c>
      <c r="D35" t="s">
        <v>22</v>
      </c>
      <c r="E35" t="s">
        <v>13</v>
      </c>
      <c r="F35" s="3">
        <v>1370.2</v>
      </c>
      <c r="G35">
        <v>18</v>
      </c>
      <c r="H35">
        <v>4.7</v>
      </c>
      <c r="I35" s="1" t="b">
        <v>0</v>
      </c>
      <c r="J35">
        <v>10</v>
      </c>
      <c r="K35" t="s">
        <v>14</v>
      </c>
      <c r="L35" t="str">
        <f xml:space="preserve"> IF(AND(Customer_Table[[#This Row],[Days Since Last Purchase]]&gt;21,Customer_Table[[#This Row],[Satisfaction Level]] = "Unsatisfied"), "At Risk", "Low Risk")</f>
        <v>Low Risk</v>
      </c>
      <c r="M35" t="str">
        <f t="shared" si="0"/>
        <v>26-30</v>
      </c>
      <c r="N35" t="str">
        <f xml:space="preserve"> IF(Customer_Table[[#This Row],[Total Spend]] &gt;= 1000, "High", IF(Customer_Table[[#This Row],[Total Spend]]&gt;= 600, "Medium", "Low"))</f>
        <v>High</v>
      </c>
      <c r="O3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6" spans="1:15" x14ac:dyDescent="0.25">
      <c r="A36" s="1">
        <v>135</v>
      </c>
      <c r="B36" t="s">
        <v>15</v>
      </c>
      <c r="C36">
        <v>26</v>
      </c>
      <c r="D36" t="s">
        <v>23</v>
      </c>
      <c r="E36" t="s">
        <v>17</v>
      </c>
      <c r="F36" s="3">
        <v>690.6</v>
      </c>
      <c r="G36">
        <v>12</v>
      </c>
      <c r="H36">
        <v>3.9</v>
      </c>
      <c r="I36" s="1" t="b">
        <v>1</v>
      </c>
      <c r="J36">
        <v>47</v>
      </c>
      <c r="K36" t="s">
        <v>21</v>
      </c>
      <c r="L36" t="str">
        <f xml:space="preserve"> IF(AND(Customer_Table[[#This Row],[Days Since Last Purchase]]&gt;21,Customer_Table[[#This Row],[Satisfaction Level]] = "Unsatisfied"), "At Risk", "Low Risk")</f>
        <v>At Risk</v>
      </c>
      <c r="M36" t="str">
        <f t="shared" si="0"/>
        <v>26-30</v>
      </c>
      <c r="N36" t="str">
        <f xml:space="preserve"> IF(Customer_Table[[#This Row],[Total Spend]] &gt;= 1000, "High", IF(Customer_Table[[#This Row],[Total Spend]]&gt;= 600, "Medium", "Low"))</f>
        <v>Medium</v>
      </c>
      <c r="O3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7" spans="1:15" x14ac:dyDescent="0.25">
      <c r="A37" s="1">
        <v>136</v>
      </c>
      <c r="B37" t="s">
        <v>11</v>
      </c>
      <c r="C37">
        <v>38</v>
      </c>
      <c r="D37" t="s">
        <v>24</v>
      </c>
      <c r="E37" t="s">
        <v>20</v>
      </c>
      <c r="F37" s="3">
        <v>440.9</v>
      </c>
      <c r="G37">
        <v>8</v>
      </c>
      <c r="H37">
        <v>3.2</v>
      </c>
      <c r="I37" s="1" t="b">
        <v>0</v>
      </c>
      <c r="J37">
        <v>24</v>
      </c>
      <c r="K37" t="s">
        <v>18</v>
      </c>
      <c r="L37" t="str">
        <f xml:space="preserve"> IF(AND(Customer_Table[[#This Row],[Days Since Last Purchase]]&gt;21,Customer_Table[[#This Row],[Satisfaction Level]] = "Unsatisfied"), "At Risk", "Low Risk")</f>
        <v>Low Risk</v>
      </c>
      <c r="M37" t="str">
        <f t="shared" si="0"/>
        <v>36-40</v>
      </c>
      <c r="N37" t="str">
        <f xml:space="preserve"> IF(Customer_Table[[#This Row],[Total Spend]] &gt;= 1000, "High", IF(Customer_Table[[#This Row],[Total Spend]]&gt;= 600, "Medium", "Low"))</f>
        <v>Low</v>
      </c>
      <c r="O3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8" spans="1:15" x14ac:dyDescent="0.25">
      <c r="A38" s="1">
        <v>137</v>
      </c>
      <c r="B38" t="s">
        <v>11</v>
      </c>
      <c r="C38">
        <v>32</v>
      </c>
      <c r="D38" t="s">
        <v>12</v>
      </c>
      <c r="E38" t="s">
        <v>13</v>
      </c>
      <c r="F38" s="3">
        <v>1160.3</v>
      </c>
      <c r="G38">
        <v>14</v>
      </c>
      <c r="H38">
        <v>4.4000000000000004</v>
      </c>
      <c r="I38" s="1" t="b">
        <v>1</v>
      </c>
      <c r="J38">
        <v>22</v>
      </c>
      <c r="K38" t="s">
        <v>14</v>
      </c>
      <c r="L38" t="str">
        <f xml:space="preserve"> IF(AND(Customer_Table[[#This Row],[Days Since Last Purchase]]&gt;21,Customer_Table[[#This Row],[Satisfaction Level]] = "Unsatisfied"), "At Risk", "Low Risk")</f>
        <v>Low Risk</v>
      </c>
      <c r="M38" t="str">
        <f t="shared" si="0"/>
        <v>31-35</v>
      </c>
      <c r="N38" t="str">
        <f xml:space="preserve"> IF(Customer_Table[[#This Row],[Total Spend]] &gt;= 1000, "High", IF(Customer_Table[[#This Row],[Total Spend]]&gt;= 600, "Medium", "Low"))</f>
        <v>High</v>
      </c>
      <c r="O3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9" spans="1:15" x14ac:dyDescent="0.25">
      <c r="A39" s="1">
        <v>138</v>
      </c>
      <c r="B39" t="s">
        <v>15</v>
      </c>
      <c r="C39">
        <v>34</v>
      </c>
      <c r="D39" t="s">
        <v>16</v>
      </c>
      <c r="E39" t="s">
        <v>17</v>
      </c>
      <c r="F39" s="3">
        <v>800.2</v>
      </c>
      <c r="G39">
        <v>11</v>
      </c>
      <c r="H39">
        <v>4.0999999999999996</v>
      </c>
      <c r="I39" s="1" t="b">
        <v>0</v>
      </c>
      <c r="J39">
        <v>17</v>
      </c>
      <c r="K39" t="s">
        <v>18</v>
      </c>
      <c r="L39" t="str">
        <f xml:space="preserve"> IF(AND(Customer_Table[[#This Row],[Days Since Last Purchase]]&gt;21,Customer_Table[[#This Row],[Satisfaction Level]] = "Unsatisfied"), "At Risk", "Low Risk")</f>
        <v>Low Risk</v>
      </c>
      <c r="M39" t="str">
        <f t="shared" si="0"/>
        <v>31-35</v>
      </c>
      <c r="N39" t="str">
        <f xml:space="preserve"> IF(Customer_Table[[#This Row],[Total Spend]] &gt;= 1000, "High", IF(Customer_Table[[#This Row],[Total Spend]]&gt;= 600, "Medium", "Low"))</f>
        <v>Medium</v>
      </c>
      <c r="O3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40" spans="1:15" x14ac:dyDescent="0.25">
      <c r="A40" s="1">
        <v>139</v>
      </c>
      <c r="B40" t="s">
        <v>11</v>
      </c>
      <c r="C40">
        <v>43</v>
      </c>
      <c r="D40" t="s">
        <v>19</v>
      </c>
      <c r="E40" t="s">
        <v>20</v>
      </c>
      <c r="F40" s="3">
        <v>500.75</v>
      </c>
      <c r="G40">
        <v>10</v>
      </c>
      <c r="H40">
        <v>3.3</v>
      </c>
      <c r="I40" s="1" t="b">
        <v>1</v>
      </c>
      <c r="J40">
        <v>40</v>
      </c>
      <c r="K40" t="s">
        <v>21</v>
      </c>
      <c r="L40" t="str">
        <f xml:space="preserve"> IF(AND(Customer_Table[[#This Row],[Days Since Last Purchase]]&gt;21,Customer_Table[[#This Row],[Satisfaction Level]] = "Unsatisfied"), "At Risk", "Low Risk")</f>
        <v>At Risk</v>
      </c>
      <c r="M40" t="str">
        <f t="shared" si="0"/>
        <v>41-43</v>
      </c>
      <c r="N40" t="str">
        <f xml:space="preserve"> IF(Customer_Table[[#This Row],[Total Spend]] &gt;= 1000, "High", IF(Customer_Table[[#This Row],[Total Spend]]&gt;= 600, "Medium", "Low"))</f>
        <v>Low</v>
      </c>
      <c r="O4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41" spans="1:15" x14ac:dyDescent="0.25">
      <c r="A41" s="1">
        <v>140</v>
      </c>
      <c r="B41" t="s">
        <v>15</v>
      </c>
      <c r="C41">
        <v>30</v>
      </c>
      <c r="D41" t="s">
        <v>22</v>
      </c>
      <c r="E41" t="s">
        <v>13</v>
      </c>
      <c r="F41" s="3">
        <v>1460.5</v>
      </c>
      <c r="G41">
        <v>20</v>
      </c>
      <c r="H41">
        <v>4.8</v>
      </c>
      <c r="I41" s="1" t="b">
        <v>0</v>
      </c>
      <c r="J41">
        <v>12</v>
      </c>
      <c r="K41" t="s">
        <v>14</v>
      </c>
      <c r="L41" t="str">
        <f xml:space="preserve"> IF(AND(Customer_Table[[#This Row],[Days Since Last Purchase]]&gt;21,Customer_Table[[#This Row],[Satisfaction Level]] = "Unsatisfied"), "At Risk", "Low Risk")</f>
        <v>Low Risk</v>
      </c>
      <c r="M41" t="str">
        <f t="shared" si="0"/>
        <v>26-30</v>
      </c>
      <c r="N41" t="str">
        <f xml:space="preserve"> IF(Customer_Table[[#This Row],[Total Spend]] &gt;= 1000, "High", IF(Customer_Table[[#This Row],[Total Spend]]&gt;= 600, "Medium", "Low"))</f>
        <v>High</v>
      </c>
      <c r="O4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42" spans="1:15" x14ac:dyDescent="0.25">
      <c r="A42" s="1">
        <v>141</v>
      </c>
      <c r="B42" t="s">
        <v>15</v>
      </c>
      <c r="C42">
        <v>27</v>
      </c>
      <c r="D42" t="s">
        <v>23</v>
      </c>
      <c r="E42" t="s">
        <v>17</v>
      </c>
      <c r="F42" s="3">
        <v>700.4</v>
      </c>
      <c r="G42">
        <v>13</v>
      </c>
      <c r="H42">
        <v>4</v>
      </c>
      <c r="I42" s="1" t="b">
        <v>1</v>
      </c>
      <c r="J42">
        <v>53</v>
      </c>
      <c r="K42" t="s">
        <v>21</v>
      </c>
      <c r="L42" t="str">
        <f xml:space="preserve"> IF(AND(Customer_Table[[#This Row],[Days Since Last Purchase]]&gt;21,Customer_Table[[#This Row],[Satisfaction Level]] = "Unsatisfied"), "At Risk", "Low Risk")</f>
        <v>At Risk</v>
      </c>
      <c r="M42" t="str">
        <f t="shared" si="0"/>
        <v>26-30</v>
      </c>
      <c r="N42" t="str">
        <f xml:space="preserve"> IF(Customer_Table[[#This Row],[Total Spend]] &gt;= 1000, "High", IF(Customer_Table[[#This Row],[Total Spend]]&gt;= 600, "Medium", "Low"))</f>
        <v>Medium</v>
      </c>
      <c r="O4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43" spans="1:15" x14ac:dyDescent="0.25">
      <c r="A43" s="1">
        <v>142</v>
      </c>
      <c r="B43" t="s">
        <v>11</v>
      </c>
      <c r="C43">
        <v>37</v>
      </c>
      <c r="D43" t="s">
        <v>24</v>
      </c>
      <c r="E43" t="s">
        <v>20</v>
      </c>
      <c r="F43" s="3">
        <v>420.8</v>
      </c>
      <c r="G43">
        <v>7</v>
      </c>
      <c r="H43">
        <v>3.1</v>
      </c>
      <c r="I43" s="1" t="b">
        <v>0</v>
      </c>
      <c r="J43">
        <v>21</v>
      </c>
      <c r="K43" t="s">
        <v>18</v>
      </c>
      <c r="L43" t="str">
        <f xml:space="preserve"> IF(AND(Customer_Table[[#This Row],[Days Since Last Purchase]]&gt;21,Customer_Table[[#This Row],[Satisfaction Level]] = "Unsatisfied"), "At Risk", "Low Risk")</f>
        <v>Low Risk</v>
      </c>
      <c r="M43" t="str">
        <f t="shared" si="0"/>
        <v>36-40</v>
      </c>
      <c r="N43" t="str">
        <f xml:space="preserve"> IF(Customer_Table[[#This Row],[Total Spend]] &gt;= 1000, "High", IF(Customer_Table[[#This Row],[Total Spend]]&gt;= 600, "Medium", "Low"))</f>
        <v>Low</v>
      </c>
      <c r="O4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44" spans="1:15" x14ac:dyDescent="0.25">
      <c r="A44" s="1">
        <v>143</v>
      </c>
      <c r="B44" t="s">
        <v>11</v>
      </c>
      <c r="C44">
        <v>31</v>
      </c>
      <c r="D44" t="s">
        <v>12</v>
      </c>
      <c r="E44" t="s">
        <v>13</v>
      </c>
      <c r="F44" s="3">
        <v>1130.5999999999999</v>
      </c>
      <c r="G44">
        <v>15</v>
      </c>
      <c r="H44">
        <v>4.5</v>
      </c>
      <c r="I44" s="1" t="b">
        <v>1</v>
      </c>
      <c r="J44">
        <v>26</v>
      </c>
      <c r="K44" t="s">
        <v>14</v>
      </c>
      <c r="L44" t="str">
        <f xml:space="preserve"> IF(AND(Customer_Table[[#This Row],[Days Since Last Purchase]]&gt;21,Customer_Table[[#This Row],[Satisfaction Level]] = "Unsatisfied"), "At Risk", "Low Risk")</f>
        <v>Low Risk</v>
      </c>
      <c r="M44" t="str">
        <f t="shared" si="0"/>
        <v>31-35</v>
      </c>
      <c r="N44" t="str">
        <f xml:space="preserve"> IF(Customer_Table[[#This Row],[Total Spend]] &gt;= 1000, "High", IF(Customer_Table[[#This Row],[Total Spend]]&gt;= 600, "Medium", "Low"))</f>
        <v>High</v>
      </c>
      <c r="O4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45" spans="1:15" x14ac:dyDescent="0.25">
      <c r="A45" s="1">
        <v>144</v>
      </c>
      <c r="B45" t="s">
        <v>15</v>
      </c>
      <c r="C45">
        <v>35</v>
      </c>
      <c r="D45" t="s">
        <v>16</v>
      </c>
      <c r="E45" t="s">
        <v>17</v>
      </c>
      <c r="F45" s="3">
        <v>820.9</v>
      </c>
      <c r="G45">
        <v>12</v>
      </c>
      <c r="H45">
        <v>4.3</v>
      </c>
      <c r="I45" s="1" t="b">
        <v>0</v>
      </c>
      <c r="J45">
        <v>12</v>
      </c>
      <c r="K45" t="s">
        <v>18</v>
      </c>
      <c r="L45" t="str">
        <f xml:space="preserve"> IF(AND(Customer_Table[[#This Row],[Days Since Last Purchase]]&gt;21,Customer_Table[[#This Row],[Satisfaction Level]] = "Unsatisfied"), "At Risk", "Low Risk")</f>
        <v>Low Risk</v>
      </c>
      <c r="M45" t="str">
        <f t="shared" si="0"/>
        <v>31-35</v>
      </c>
      <c r="N45" t="str">
        <f xml:space="preserve"> IF(Customer_Table[[#This Row],[Total Spend]] &gt;= 1000, "High", IF(Customer_Table[[#This Row],[Total Spend]]&gt;= 600, "Medium", "Low"))</f>
        <v>Medium</v>
      </c>
      <c r="O4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46" spans="1:15" x14ac:dyDescent="0.25">
      <c r="A46" s="1">
        <v>145</v>
      </c>
      <c r="B46" t="s">
        <v>11</v>
      </c>
      <c r="C46">
        <v>41</v>
      </c>
      <c r="D46" t="s">
        <v>19</v>
      </c>
      <c r="E46" t="s">
        <v>20</v>
      </c>
      <c r="F46" s="3">
        <v>480.25</v>
      </c>
      <c r="G46">
        <v>9</v>
      </c>
      <c r="H46">
        <v>3.6</v>
      </c>
      <c r="I46" s="1" t="b">
        <v>1</v>
      </c>
      <c r="J46">
        <v>38</v>
      </c>
      <c r="K46" t="s">
        <v>21</v>
      </c>
      <c r="L46" t="str">
        <f xml:space="preserve"> IF(AND(Customer_Table[[#This Row],[Days Since Last Purchase]]&gt;21,Customer_Table[[#This Row],[Satisfaction Level]] = "Unsatisfied"), "At Risk", "Low Risk")</f>
        <v>At Risk</v>
      </c>
      <c r="M46" t="str">
        <f t="shared" si="0"/>
        <v>41-43</v>
      </c>
      <c r="N46" t="str">
        <f xml:space="preserve"> IF(Customer_Table[[#This Row],[Total Spend]] &gt;= 1000, "High", IF(Customer_Table[[#This Row],[Total Spend]]&gt;= 600, "Medium", "Low"))</f>
        <v>Low</v>
      </c>
      <c r="O4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47" spans="1:15" x14ac:dyDescent="0.25">
      <c r="A47" s="1">
        <v>146</v>
      </c>
      <c r="B47" t="s">
        <v>15</v>
      </c>
      <c r="C47">
        <v>28</v>
      </c>
      <c r="D47" t="s">
        <v>22</v>
      </c>
      <c r="E47" t="s">
        <v>13</v>
      </c>
      <c r="F47" s="3">
        <v>1490.1</v>
      </c>
      <c r="G47">
        <v>21</v>
      </c>
      <c r="H47">
        <v>4.9000000000000004</v>
      </c>
      <c r="I47" s="1" t="b">
        <v>0</v>
      </c>
      <c r="J47">
        <v>9</v>
      </c>
      <c r="K47" t="s">
        <v>14</v>
      </c>
      <c r="L47" t="str">
        <f xml:space="preserve"> IF(AND(Customer_Table[[#This Row],[Days Since Last Purchase]]&gt;21,Customer_Table[[#This Row],[Satisfaction Level]] = "Unsatisfied"), "At Risk", "Low Risk")</f>
        <v>Low Risk</v>
      </c>
      <c r="M47" t="str">
        <f t="shared" si="0"/>
        <v>26-30</v>
      </c>
      <c r="N47" t="str">
        <f xml:space="preserve"> IF(Customer_Table[[#This Row],[Total Spend]] &gt;= 1000, "High", IF(Customer_Table[[#This Row],[Total Spend]]&gt;= 600, "Medium", "Low"))</f>
        <v>High</v>
      </c>
      <c r="O4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48" spans="1:15" x14ac:dyDescent="0.25">
      <c r="A48" s="1">
        <v>147</v>
      </c>
      <c r="B48" t="s">
        <v>15</v>
      </c>
      <c r="C48">
        <v>32</v>
      </c>
      <c r="D48" t="s">
        <v>23</v>
      </c>
      <c r="E48" t="s">
        <v>17</v>
      </c>
      <c r="F48" s="3">
        <v>680.3</v>
      </c>
      <c r="G48">
        <v>10</v>
      </c>
      <c r="H48">
        <v>3.8</v>
      </c>
      <c r="I48" s="1" t="b">
        <v>1</v>
      </c>
      <c r="J48">
        <v>32</v>
      </c>
      <c r="K48" t="s">
        <v>21</v>
      </c>
      <c r="L48" t="str">
        <f xml:space="preserve"> IF(AND(Customer_Table[[#This Row],[Days Since Last Purchase]]&gt;21,Customer_Table[[#This Row],[Satisfaction Level]] = "Unsatisfied"), "At Risk", "Low Risk")</f>
        <v>At Risk</v>
      </c>
      <c r="M48" t="str">
        <f t="shared" si="0"/>
        <v>31-35</v>
      </c>
      <c r="N48" t="str">
        <f xml:space="preserve"> IF(Customer_Table[[#This Row],[Total Spend]] &gt;= 1000, "High", IF(Customer_Table[[#This Row],[Total Spend]]&gt;= 600, "Medium", "Low"))</f>
        <v>Medium</v>
      </c>
      <c r="O4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49" spans="1:15" x14ac:dyDescent="0.25">
      <c r="A49" s="1">
        <v>148</v>
      </c>
      <c r="B49" t="s">
        <v>11</v>
      </c>
      <c r="C49">
        <v>36</v>
      </c>
      <c r="D49" t="s">
        <v>24</v>
      </c>
      <c r="E49" t="s">
        <v>20</v>
      </c>
      <c r="F49" s="3">
        <v>470.5</v>
      </c>
      <c r="G49">
        <v>8</v>
      </c>
      <c r="H49">
        <v>3</v>
      </c>
      <c r="I49" s="1" t="b">
        <v>0</v>
      </c>
      <c r="J49">
        <v>18</v>
      </c>
      <c r="K49" t="s">
        <v>18</v>
      </c>
      <c r="L49" t="str">
        <f xml:space="preserve"> IF(AND(Customer_Table[[#This Row],[Days Since Last Purchase]]&gt;21,Customer_Table[[#This Row],[Satisfaction Level]] = "Unsatisfied"), "At Risk", "Low Risk")</f>
        <v>Low Risk</v>
      </c>
      <c r="M49" t="str">
        <f t="shared" si="0"/>
        <v>36-40</v>
      </c>
      <c r="N49" t="str">
        <f xml:space="preserve"> IF(Customer_Table[[#This Row],[Total Spend]] &gt;= 1000, "High", IF(Customer_Table[[#This Row],[Total Spend]]&gt;= 600, "Medium", "Low"))</f>
        <v>Low</v>
      </c>
      <c r="O4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50" spans="1:15" x14ac:dyDescent="0.25">
      <c r="A50" s="1">
        <v>149</v>
      </c>
      <c r="B50" t="s">
        <v>11</v>
      </c>
      <c r="C50">
        <v>30</v>
      </c>
      <c r="D50" t="s">
        <v>12</v>
      </c>
      <c r="E50" t="s">
        <v>13</v>
      </c>
      <c r="F50" s="3">
        <v>1180.8</v>
      </c>
      <c r="G50">
        <v>16</v>
      </c>
      <c r="H50">
        <v>4.7</v>
      </c>
      <c r="I50" s="1" t="b">
        <v>1</v>
      </c>
      <c r="J50">
        <v>19</v>
      </c>
      <c r="K50" t="s">
        <v>14</v>
      </c>
      <c r="L50" t="str">
        <f xml:space="preserve"> IF(AND(Customer_Table[[#This Row],[Days Since Last Purchase]]&gt;21,Customer_Table[[#This Row],[Satisfaction Level]] = "Unsatisfied"), "At Risk", "Low Risk")</f>
        <v>Low Risk</v>
      </c>
      <c r="M50" t="str">
        <f t="shared" si="0"/>
        <v>26-30</v>
      </c>
      <c r="N50" t="str">
        <f xml:space="preserve"> IF(Customer_Table[[#This Row],[Total Spend]] &gt;= 1000, "High", IF(Customer_Table[[#This Row],[Total Spend]]&gt;= 600, "Medium", "Low"))</f>
        <v>High</v>
      </c>
      <c r="O5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51" spans="1:15" x14ac:dyDescent="0.25">
      <c r="A51" s="1">
        <v>150</v>
      </c>
      <c r="B51" t="s">
        <v>15</v>
      </c>
      <c r="C51">
        <v>34</v>
      </c>
      <c r="D51" t="s">
        <v>16</v>
      </c>
      <c r="E51" t="s">
        <v>17</v>
      </c>
      <c r="F51" s="3">
        <v>790.2</v>
      </c>
      <c r="G51">
        <v>11</v>
      </c>
      <c r="H51">
        <v>4</v>
      </c>
      <c r="I51" s="1" t="b">
        <v>0</v>
      </c>
      <c r="J51">
        <v>15</v>
      </c>
      <c r="K51" t="s">
        <v>18</v>
      </c>
      <c r="L51" t="str">
        <f xml:space="preserve"> IF(AND(Customer_Table[[#This Row],[Days Since Last Purchase]]&gt;21,Customer_Table[[#This Row],[Satisfaction Level]] = "Unsatisfied"), "At Risk", "Low Risk")</f>
        <v>Low Risk</v>
      </c>
      <c r="M51" t="str">
        <f t="shared" si="0"/>
        <v>31-35</v>
      </c>
      <c r="N51" t="str">
        <f xml:space="preserve"> IF(Customer_Table[[#This Row],[Total Spend]] &gt;= 1000, "High", IF(Customer_Table[[#This Row],[Total Spend]]&gt;= 600, "Medium", "Low"))</f>
        <v>Medium</v>
      </c>
      <c r="O5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52" spans="1:15" x14ac:dyDescent="0.25">
      <c r="A52" s="1">
        <v>151</v>
      </c>
      <c r="B52" t="s">
        <v>11</v>
      </c>
      <c r="C52">
        <v>43</v>
      </c>
      <c r="D52" t="s">
        <v>19</v>
      </c>
      <c r="E52" t="s">
        <v>20</v>
      </c>
      <c r="F52" s="3">
        <v>505.75</v>
      </c>
      <c r="G52">
        <v>10</v>
      </c>
      <c r="H52">
        <v>3.3</v>
      </c>
      <c r="I52" s="1" t="b">
        <v>1</v>
      </c>
      <c r="J52">
        <v>39</v>
      </c>
      <c r="K52" t="s">
        <v>21</v>
      </c>
      <c r="L52" t="str">
        <f xml:space="preserve"> IF(AND(Customer_Table[[#This Row],[Days Since Last Purchase]]&gt;21,Customer_Table[[#This Row],[Satisfaction Level]] = "Unsatisfied"), "At Risk", "Low Risk")</f>
        <v>At Risk</v>
      </c>
      <c r="M52" t="str">
        <f t="shared" si="0"/>
        <v>41-43</v>
      </c>
      <c r="N52" t="str">
        <f xml:space="preserve"> IF(Customer_Table[[#This Row],[Total Spend]] &gt;= 1000, "High", IF(Customer_Table[[#This Row],[Total Spend]]&gt;= 600, "Medium", "Low"))</f>
        <v>Low</v>
      </c>
      <c r="O5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53" spans="1:15" x14ac:dyDescent="0.25">
      <c r="A53" s="1">
        <v>152</v>
      </c>
      <c r="B53" t="s">
        <v>15</v>
      </c>
      <c r="C53">
        <v>30</v>
      </c>
      <c r="D53" t="s">
        <v>22</v>
      </c>
      <c r="E53" t="s">
        <v>13</v>
      </c>
      <c r="F53" s="3">
        <v>1470.5</v>
      </c>
      <c r="G53">
        <v>20</v>
      </c>
      <c r="H53">
        <v>4.8</v>
      </c>
      <c r="I53" s="1" t="b">
        <v>0</v>
      </c>
      <c r="J53">
        <v>13</v>
      </c>
      <c r="K53" t="s">
        <v>14</v>
      </c>
      <c r="L53" t="str">
        <f xml:space="preserve"> IF(AND(Customer_Table[[#This Row],[Days Since Last Purchase]]&gt;21,Customer_Table[[#This Row],[Satisfaction Level]] = "Unsatisfied"), "At Risk", "Low Risk")</f>
        <v>Low Risk</v>
      </c>
      <c r="M53" t="str">
        <f t="shared" si="0"/>
        <v>26-30</v>
      </c>
      <c r="N53" t="str">
        <f xml:space="preserve"> IF(Customer_Table[[#This Row],[Total Spend]] &gt;= 1000, "High", IF(Customer_Table[[#This Row],[Total Spend]]&gt;= 600, "Medium", "Low"))</f>
        <v>High</v>
      </c>
      <c r="O5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54" spans="1:15" x14ac:dyDescent="0.25">
      <c r="A54" s="1">
        <v>153</v>
      </c>
      <c r="B54" t="s">
        <v>15</v>
      </c>
      <c r="C54">
        <v>27</v>
      </c>
      <c r="D54" t="s">
        <v>23</v>
      </c>
      <c r="E54" t="s">
        <v>17</v>
      </c>
      <c r="F54" s="3">
        <v>710.4</v>
      </c>
      <c r="G54">
        <v>13</v>
      </c>
      <c r="H54">
        <v>4.0999999999999996</v>
      </c>
      <c r="I54" s="1" t="b">
        <v>1</v>
      </c>
      <c r="J54">
        <v>54</v>
      </c>
      <c r="K54" t="s">
        <v>21</v>
      </c>
      <c r="L54" t="str">
        <f xml:space="preserve"> IF(AND(Customer_Table[[#This Row],[Days Since Last Purchase]]&gt;21,Customer_Table[[#This Row],[Satisfaction Level]] = "Unsatisfied"), "At Risk", "Low Risk")</f>
        <v>At Risk</v>
      </c>
      <c r="M54" t="str">
        <f t="shared" si="0"/>
        <v>26-30</v>
      </c>
      <c r="N54" t="str">
        <f xml:space="preserve"> IF(Customer_Table[[#This Row],[Total Spend]] &gt;= 1000, "High", IF(Customer_Table[[#This Row],[Total Spend]]&gt;= 600, "Medium", "Low"))</f>
        <v>Medium</v>
      </c>
      <c r="O5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55" spans="1:15" x14ac:dyDescent="0.25">
      <c r="A55" s="1">
        <v>154</v>
      </c>
      <c r="B55" t="s">
        <v>11</v>
      </c>
      <c r="C55">
        <v>37</v>
      </c>
      <c r="D55" t="s">
        <v>24</v>
      </c>
      <c r="E55" t="s">
        <v>20</v>
      </c>
      <c r="F55" s="3">
        <v>430.8</v>
      </c>
      <c r="G55">
        <v>7</v>
      </c>
      <c r="H55">
        <v>3.4</v>
      </c>
      <c r="I55" s="1" t="b">
        <v>0</v>
      </c>
      <c r="J55">
        <v>23</v>
      </c>
      <c r="K55" t="s">
        <v>18</v>
      </c>
      <c r="L55" t="str">
        <f xml:space="preserve"> IF(AND(Customer_Table[[#This Row],[Days Since Last Purchase]]&gt;21,Customer_Table[[#This Row],[Satisfaction Level]] = "Unsatisfied"), "At Risk", "Low Risk")</f>
        <v>Low Risk</v>
      </c>
      <c r="M55" t="str">
        <f t="shared" si="0"/>
        <v>36-40</v>
      </c>
      <c r="N55" t="str">
        <f xml:space="preserve"> IF(Customer_Table[[#This Row],[Total Spend]] &gt;= 1000, "High", IF(Customer_Table[[#This Row],[Total Spend]]&gt;= 600, "Medium", "Low"))</f>
        <v>Low</v>
      </c>
      <c r="O5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56" spans="1:15" x14ac:dyDescent="0.25">
      <c r="A56" s="1">
        <v>155</v>
      </c>
      <c r="B56" t="s">
        <v>11</v>
      </c>
      <c r="C56">
        <v>31</v>
      </c>
      <c r="D56" t="s">
        <v>12</v>
      </c>
      <c r="E56" t="s">
        <v>13</v>
      </c>
      <c r="F56" s="3">
        <v>1140.5999999999999</v>
      </c>
      <c r="G56">
        <v>15</v>
      </c>
      <c r="H56">
        <v>4.5999999999999996</v>
      </c>
      <c r="I56" s="1" t="b">
        <v>1</v>
      </c>
      <c r="J56">
        <v>27</v>
      </c>
      <c r="K56" t="s">
        <v>14</v>
      </c>
      <c r="L56" t="str">
        <f xml:space="preserve"> IF(AND(Customer_Table[[#This Row],[Days Since Last Purchase]]&gt;21,Customer_Table[[#This Row],[Satisfaction Level]] = "Unsatisfied"), "At Risk", "Low Risk")</f>
        <v>Low Risk</v>
      </c>
      <c r="M56" t="str">
        <f t="shared" si="0"/>
        <v>31-35</v>
      </c>
      <c r="N56" t="str">
        <f xml:space="preserve"> IF(Customer_Table[[#This Row],[Total Spend]] &gt;= 1000, "High", IF(Customer_Table[[#This Row],[Total Spend]]&gt;= 600, "Medium", "Low"))</f>
        <v>High</v>
      </c>
      <c r="O5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57" spans="1:15" x14ac:dyDescent="0.25">
      <c r="A57" s="1">
        <v>156</v>
      </c>
      <c r="B57" t="s">
        <v>15</v>
      </c>
      <c r="C57">
        <v>35</v>
      </c>
      <c r="D57" t="s">
        <v>16</v>
      </c>
      <c r="E57" t="s">
        <v>17</v>
      </c>
      <c r="F57" s="3">
        <v>810.9</v>
      </c>
      <c r="G57">
        <v>12</v>
      </c>
      <c r="H57">
        <v>4.3</v>
      </c>
      <c r="I57" s="1" t="b">
        <v>0</v>
      </c>
      <c r="J57">
        <v>13</v>
      </c>
      <c r="K57" t="s">
        <v>18</v>
      </c>
      <c r="L57" t="str">
        <f xml:space="preserve"> IF(AND(Customer_Table[[#This Row],[Days Since Last Purchase]]&gt;21,Customer_Table[[#This Row],[Satisfaction Level]] = "Unsatisfied"), "At Risk", "Low Risk")</f>
        <v>Low Risk</v>
      </c>
      <c r="M57" t="str">
        <f t="shared" si="0"/>
        <v>31-35</v>
      </c>
      <c r="N57" t="str">
        <f xml:space="preserve"> IF(Customer_Table[[#This Row],[Total Spend]] &gt;= 1000, "High", IF(Customer_Table[[#This Row],[Total Spend]]&gt;= 600, "Medium", "Low"))</f>
        <v>Medium</v>
      </c>
      <c r="O5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58" spans="1:15" x14ac:dyDescent="0.25">
      <c r="A58" s="1">
        <v>157</v>
      </c>
      <c r="B58" t="s">
        <v>11</v>
      </c>
      <c r="C58">
        <v>41</v>
      </c>
      <c r="D58" t="s">
        <v>19</v>
      </c>
      <c r="E58" t="s">
        <v>20</v>
      </c>
      <c r="F58" s="3">
        <v>485.25</v>
      </c>
      <c r="G58">
        <v>9</v>
      </c>
      <c r="H58">
        <v>3.6</v>
      </c>
      <c r="I58" s="1" t="b">
        <v>1</v>
      </c>
      <c r="J58">
        <v>39</v>
      </c>
      <c r="K58" t="s">
        <v>21</v>
      </c>
      <c r="L58" t="str">
        <f xml:space="preserve"> IF(AND(Customer_Table[[#This Row],[Days Since Last Purchase]]&gt;21,Customer_Table[[#This Row],[Satisfaction Level]] = "Unsatisfied"), "At Risk", "Low Risk")</f>
        <v>At Risk</v>
      </c>
      <c r="M58" t="str">
        <f t="shared" si="0"/>
        <v>41-43</v>
      </c>
      <c r="N58" t="str">
        <f xml:space="preserve"> IF(Customer_Table[[#This Row],[Total Spend]] &gt;= 1000, "High", IF(Customer_Table[[#This Row],[Total Spend]]&gt;= 600, "Medium", "Low"))</f>
        <v>Low</v>
      </c>
      <c r="O5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59" spans="1:15" x14ac:dyDescent="0.25">
      <c r="A59" s="1">
        <v>158</v>
      </c>
      <c r="B59" t="s">
        <v>15</v>
      </c>
      <c r="C59">
        <v>28</v>
      </c>
      <c r="D59" t="s">
        <v>22</v>
      </c>
      <c r="E59" t="s">
        <v>13</v>
      </c>
      <c r="F59" s="3">
        <v>1500.1</v>
      </c>
      <c r="G59">
        <v>21</v>
      </c>
      <c r="H59">
        <v>4.9000000000000004</v>
      </c>
      <c r="I59" s="1" t="b">
        <v>0</v>
      </c>
      <c r="J59">
        <v>10</v>
      </c>
      <c r="K59" t="s">
        <v>14</v>
      </c>
      <c r="L59" t="str">
        <f xml:space="preserve"> IF(AND(Customer_Table[[#This Row],[Days Since Last Purchase]]&gt;21,Customer_Table[[#This Row],[Satisfaction Level]] = "Unsatisfied"), "At Risk", "Low Risk")</f>
        <v>Low Risk</v>
      </c>
      <c r="M59" t="str">
        <f t="shared" si="0"/>
        <v>26-30</v>
      </c>
      <c r="N59" t="str">
        <f xml:space="preserve"> IF(Customer_Table[[#This Row],[Total Spend]] &gt;= 1000, "High", IF(Customer_Table[[#This Row],[Total Spend]]&gt;= 600, "Medium", "Low"))</f>
        <v>High</v>
      </c>
      <c r="O5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60" spans="1:15" x14ac:dyDescent="0.25">
      <c r="A60" s="1">
        <v>159</v>
      </c>
      <c r="B60" t="s">
        <v>15</v>
      </c>
      <c r="C60">
        <v>32</v>
      </c>
      <c r="D60" t="s">
        <v>23</v>
      </c>
      <c r="E60" t="s">
        <v>17</v>
      </c>
      <c r="F60" s="3">
        <v>670.3</v>
      </c>
      <c r="G60">
        <v>10</v>
      </c>
      <c r="H60">
        <v>3.8</v>
      </c>
      <c r="I60" s="1" t="b">
        <v>1</v>
      </c>
      <c r="J60">
        <v>33</v>
      </c>
      <c r="K60" t="s">
        <v>21</v>
      </c>
      <c r="L60" t="str">
        <f xml:space="preserve"> IF(AND(Customer_Table[[#This Row],[Days Since Last Purchase]]&gt;21,Customer_Table[[#This Row],[Satisfaction Level]] = "Unsatisfied"), "At Risk", "Low Risk")</f>
        <v>At Risk</v>
      </c>
      <c r="M60" t="str">
        <f t="shared" si="0"/>
        <v>31-35</v>
      </c>
      <c r="N60" t="str">
        <f xml:space="preserve"> IF(Customer_Table[[#This Row],[Total Spend]] &gt;= 1000, "High", IF(Customer_Table[[#This Row],[Total Spend]]&gt;= 600, "Medium", "Low"))</f>
        <v>Medium</v>
      </c>
      <c r="O6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61" spans="1:15" x14ac:dyDescent="0.25">
      <c r="A61" s="1">
        <v>160</v>
      </c>
      <c r="B61" t="s">
        <v>11</v>
      </c>
      <c r="C61">
        <v>36</v>
      </c>
      <c r="D61" t="s">
        <v>24</v>
      </c>
      <c r="E61" t="s">
        <v>20</v>
      </c>
      <c r="F61" s="3">
        <v>460.5</v>
      </c>
      <c r="G61">
        <v>8</v>
      </c>
      <c r="H61">
        <v>3.1</v>
      </c>
      <c r="I61" s="1" t="b">
        <v>0</v>
      </c>
      <c r="J61">
        <v>19</v>
      </c>
      <c r="K61" t="s">
        <v>18</v>
      </c>
      <c r="L61" t="str">
        <f xml:space="preserve"> IF(AND(Customer_Table[[#This Row],[Days Since Last Purchase]]&gt;21,Customer_Table[[#This Row],[Satisfaction Level]] = "Unsatisfied"), "At Risk", "Low Risk")</f>
        <v>Low Risk</v>
      </c>
      <c r="M61" t="str">
        <f t="shared" si="0"/>
        <v>36-40</v>
      </c>
      <c r="N61" t="str">
        <f xml:space="preserve"> IF(Customer_Table[[#This Row],[Total Spend]] &gt;= 1000, "High", IF(Customer_Table[[#This Row],[Total Spend]]&gt;= 600, "Medium", "Low"))</f>
        <v>Low</v>
      </c>
      <c r="O6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62" spans="1:15" x14ac:dyDescent="0.25">
      <c r="A62" s="1">
        <v>161</v>
      </c>
      <c r="B62" t="s">
        <v>11</v>
      </c>
      <c r="C62">
        <v>30</v>
      </c>
      <c r="D62" t="s">
        <v>12</v>
      </c>
      <c r="E62" t="s">
        <v>13</v>
      </c>
      <c r="F62" s="3">
        <v>1190.8</v>
      </c>
      <c r="G62">
        <v>16</v>
      </c>
      <c r="H62">
        <v>4.5</v>
      </c>
      <c r="I62" s="1" t="b">
        <v>1</v>
      </c>
      <c r="J62">
        <v>20</v>
      </c>
      <c r="K62" t="s">
        <v>14</v>
      </c>
      <c r="L62" t="str">
        <f xml:space="preserve"> IF(AND(Customer_Table[[#This Row],[Days Since Last Purchase]]&gt;21,Customer_Table[[#This Row],[Satisfaction Level]] = "Unsatisfied"), "At Risk", "Low Risk")</f>
        <v>Low Risk</v>
      </c>
      <c r="M62" t="str">
        <f t="shared" si="0"/>
        <v>26-30</v>
      </c>
      <c r="N62" t="str">
        <f xml:space="preserve"> IF(Customer_Table[[#This Row],[Total Spend]] &gt;= 1000, "High", IF(Customer_Table[[#This Row],[Total Spend]]&gt;= 600, "Medium", "Low"))</f>
        <v>High</v>
      </c>
      <c r="O6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63" spans="1:15" x14ac:dyDescent="0.25">
      <c r="A63" s="1">
        <v>162</v>
      </c>
      <c r="B63" t="s">
        <v>15</v>
      </c>
      <c r="C63">
        <v>33</v>
      </c>
      <c r="D63" t="s">
        <v>16</v>
      </c>
      <c r="E63" t="s">
        <v>17</v>
      </c>
      <c r="F63" s="3">
        <v>830.75</v>
      </c>
      <c r="G63">
        <v>13</v>
      </c>
      <c r="H63">
        <v>4.2</v>
      </c>
      <c r="I63" s="1" t="b">
        <v>0</v>
      </c>
      <c r="J63">
        <v>14</v>
      </c>
      <c r="K63" t="s">
        <v>14</v>
      </c>
      <c r="L63" t="str">
        <f xml:space="preserve"> IF(AND(Customer_Table[[#This Row],[Days Since Last Purchase]]&gt;21,Customer_Table[[#This Row],[Satisfaction Level]] = "Unsatisfied"), "At Risk", "Low Risk")</f>
        <v>Low Risk</v>
      </c>
      <c r="M63" t="str">
        <f t="shared" si="0"/>
        <v>31-35</v>
      </c>
      <c r="N63" t="str">
        <f xml:space="preserve"> IF(Customer_Table[[#This Row],[Total Spend]] &gt;= 1000, "High", IF(Customer_Table[[#This Row],[Total Spend]]&gt;= 600, "Medium", "Low"))</f>
        <v>Medium</v>
      </c>
      <c r="O6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64" spans="1:15" x14ac:dyDescent="0.25">
      <c r="A64" s="1">
        <v>163</v>
      </c>
      <c r="B64" t="s">
        <v>11</v>
      </c>
      <c r="C64">
        <v>42</v>
      </c>
      <c r="D64" t="s">
        <v>19</v>
      </c>
      <c r="E64" t="s">
        <v>20</v>
      </c>
      <c r="F64" s="3">
        <v>520.4</v>
      </c>
      <c r="G64">
        <v>9</v>
      </c>
      <c r="H64">
        <v>3.5</v>
      </c>
      <c r="I64" s="1" t="b">
        <v>1</v>
      </c>
      <c r="J64">
        <v>37</v>
      </c>
      <c r="K64" t="s">
        <v>21</v>
      </c>
      <c r="L64" t="str">
        <f xml:space="preserve"> IF(AND(Customer_Table[[#This Row],[Days Since Last Purchase]]&gt;21,Customer_Table[[#This Row],[Satisfaction Level]] = "Unsatisfied"), "At Risk", "Low Risk")</f>
        <v>At Risk</v>
      </c>
      <c r="M64" t="str">
        <f t="shared" si="0"/>
        <v>41-43</v>
      </c>
      <c r="N64" t="str">
        <f xml:space="preserve"> IF(Customer_Table[[#This Row],[Total Spend]] &gt;= 1000, "High", IF(Customer_Table[[#This Row],[Total Spend]]&gt;= 600, "Medium", "Low"))</f>
        <v>Low</v>
      </c>
      <c r="O6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65" spans="1:15" x14ac:dyDescent="0.25">
      <c r="A65" s="1">
        <v>164</v>
      </c>
      <c r="B65" t="s">
        <v>15</v>
      </c>
      <c r="C65">
        <v>29</v>
      </c>
      <c r="D65" t="s">
        <v>22</v>
      </c>
      <c r="E65" t="s">
        <v>13</v>
      </c>
      <c r="F65" s="3">
        <v>1370.2</v>
      </c>
      <c r="G65">
        <v>18</v>
      </c>
      <c r="H65">
        <v>4.7</v>
      </c>
      <c r="I65" s="1" t="b">
        <v>0</v>
      </c>
      <c r="J65">
        <v>10</v>
      </c>
      <c r="K65" t="s">
        <v>14</v>
      </c>
      <c r="L65" t="str">
        <f xml:space="preserve"> IF(AND(Customer_Table[[#This Row],[Days Since Last Purchase]]&gt;21,Customer_Table[[#This Row],[Satisfaction Level]] = "Unsatisfied"), "At Risk", "Low Risk")</f>
        <v>Low Risk</v>
      </c>
      <c r="M65" t="str">
        <f t="shared" si="0"/>
        <v>26-30</v>
      </c>
      <c r="N65" t="str">
        <f xml:space="preserve"> IF(Customer_Table[[#This Row],[Total Spend]] &gt;= 1000, "High", IF(Customer_Table[[#This Row],[Total Spend]]&gt;= 600, "Medium", "Low"))</f>
        <v>High</v>
      </c>
      <c r="O6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66" spans="1:15" x14ac:dyDescent="0.25">
      <c r="A66" s="1">
        <v>165</v>
      </c>
      <c r="B66" t="s">
        <v>15</v>
      </c>
      <c r="C66">
        <v>26</v>
      </c>
      <c r="D66" t="s">
        <v>23</v>
      </c>
      <c r="E66" t="s">
        <v>17</v>
      </c>
      <c r="F66" s="3">
        <v>690.6</v>
      </c>
      <c r="G66">
        <v>12</v>
      </c>
      <c r="H66">
        <v>3.9</v>
      </c>
      <c r="I66" s="1" t="b">
        <v>1</v>
      </c>
      <c r="J66">
        <v>47</v>
      </c>
      <c r="K66" t="s">
        <v>21</v>
      </c>
      <c r="L66" t="str">
        <f xml:space="preserve"> IF(AND(Customer_Table[[#This Row],[Days Since Last Purchase]]&gt;21,Customer_Table[[#This Row],[Satisfaction Level]] = "Unsatisfied"), "At Risk", "Low Risk")</f>
        <v>At Risk</v>
      </c>
      <c r="M66" t="str">
        <f t="shared" ref="M66:M129" si="1" xml:space="preserve"> IF(C66&lt;=30, "26-30", IF(C66&lt;=35, "31-35", IF(C66&lt;=40, "36-40", "41-43")))</f>
        <v>26-30</v>
      </c>
      <c r="N66" t="str">
        <f xml:space="preserve"> IF(Customer_Table[[#This Row],[Total Spend]] &gt;= 1000, "High", IF(Customer_Table[[#This Row],[Total Spend]]&gt;= 600, "Medium", "Low"))</f>
        <v>Medium</v>
      </c>
      <c r="O6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67" spans="1:15" x14ac:dyDescent="0.25">
      <c r="A67" s="1">
        <v>166</v>
      </c>
      <c r="B67" t="s">
        <v>11</v>
      </c>
      <c r="C67">
        <v>38</v>
      </c>
      <c r="D67" t="s">
        <v>24</v>
      </c>
      <c r="E67" t="s">
        <v>20</v>
      </c>
      <c r="F67" s="3">
        <v>440.9</v>
      </c>
      <c r="G67">
        <v>8</v>
      </c>
      <c r="H67">
        <v>3.2</v>
      </c>
      <c r="I67" s="1" t="b">
        <v>0</v>
      </c>
      <c r="J67">
        <v>24</v>
      </c>
      <c r="K67" t="s">
        <v>18</v>
      </c>
      <c r="L67" t="str">
        <f xml:space="preserve"> IF(AND(Customer_Table[[#This Row],[Days Since Last Purchase]]&gt;21,Customer_Table[[#This Row],[Satisfaction Level]] = "Unsatisfied"), "At Risk", "Low Risk")</f>
        <v>Low Risk</v>
      </c>
      <c r="M67" t="str">
        <f t="shared" si="1"/>
        <v>36-40</v>
      </c>
      <c r="N67" t="str">
        <f xml:space="preserve"> IF(Customer_Table[[#This Row],[Total Spend]] &gt;= 1000, "High", IF(Customer_Table[[#This Row],[Total Spend]]&gt;= 600, "Medium", "Low"))</f>
        <v>Low</v>
      </c>
      <c r="O6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68" spans="1:15" x14ac:dyDescent="0.25">
      <c r="A68" s="1">
        <v>167</v>
      </c>
      <c r="B68" t="s">
        <v>11</v>
      </c>
      <c r="C68">
        <v>32</v>
      </c>
      <c r="D68" t="s">
        <v>12</v>
      </c>
      <c r="E68" t="s">
        <v>13</v>
      </c>
      <c r="F68" s="3">
        <v>1160.3</v>
      </c>
      <c r="G68">
        <v>14</v>
      </c>
      <c r="H68">
        <v>4.4000000000000004</v>
      </c>
      <c r="I68" s="1" t="b">
        <v>1</v>
      </c>
      <c r="J68">
        <v>22</v>
      </c>
      <c r="K68" t="s">
        <v>14</v>
      </c>
      <c r="L68" t="str">
        <f xml:space="preserve"> IF(AND(Customer_Table[[#This Row],[Days Since Last Purchase]]&gt;21,Customer_Table[[#This Row],[Satisfaction Level]] = "Unsatisfied"), "At Risk", "Low Risk")</f>
        <v>Low Risk</v>
      </c>
      <c r="M68" t="str">
        <f t="shared" si="1"/>
        <v>31-35</v>
      </c>
      <c r="N68" t="str">
        <f xml:space="preserve"> IF(Customer_Table[[#This Row],[Total Spend]] &gt;= 1000, "High", IF(Customer_Table[[#This Row],[Total Spend]]&gt;= 600, "Medium", "Low"))</f>
        <v>High</v>
      </c>
      <c r="O6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69" spans="1:15" x14ac:dyDescent="0.25">
      <c r="A69" s="1">
        <v>168</v>
      </c>
      <c r="B69" t="s">
        <v>15</v>
      </c>
      <c r="C69">
        <v>34</v>
      </c>
      <c r="D69" t="s">
        <v>16</v>
      </c>
      <c r="E69" t="s">
        <v>17</v>
      </c>
      <c r="F69" s="3">
        <v>800.2</v>
      </c>
      <c r="G69">
        <v>11</v>
      </c>
      <c r="H69">
        <v>4.0999999999999996</v>
      </c>
      <c r="I69" s="1" t="b">
        <v>0</v>
      </c>
      <c r="J69">
        <v>17</v>
      </c>
      <c r="K69" t="s">
        <v>18</v>
      </c>
      <c r="L69" t="str">
        <f xml:space="preserve"> IF(AND(Customer_Table[[#This Row],[Days Since Last Purchase]]&gt;21,Customer_Table[[#This Row],[Satisfaction Level]] = "Unsatisfied"), "At Risk", "Low Risk")</f>
        <v>Low Risk</v>
      </c>
      <c r="M69" t="str">
        <f t="shared" si="1"/>
        <v>31-35</v>
      </c>
      <c r="N69" t="str">
        <f xml:space="preserve"> IF(Customer_Table[[#This Row],[Total Spend]] &gt;= 1000, "High", IF(Customer_Table[[#This Row],[Total Spend]]&gt;= 600, "Medium", "Low"))</f>
        <v>Medium</v>
      </c>
      <c r="O6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70" spans="1:15" x14ac:dyDescent="0.25">
      <c r="A70" s="1">
        <v>169</v>
      </c>
      <c r="B70" t="s">
        <v>11</v>
      </c>
      <c r="C70">
        <v>43</v>
      </c>
      <c r="D70" t="s">
        <v>19</v>
      </c>
      <c r="E70" t="s">
        <v>20</v>
      </c>
      <c r="F70" s="3">
        <v>500.75</v>
      </c>
      <c r="G70">
        <v>10</v>
      </c>
      <c r="H70">
        <v>3.3</v>
      </c>
      <c r="I70" s="1" t="b">
        <v>1</v>
      </c>
      <c r="J70">
        <v>40</v>
      </c>
      <c r="K70" t="s">
        <v>21</v>
      </c>
      <c r="L70" t="str">
        <f xml:space="preserve"> IF(AND(Customer_Table[[#This Row],[Days Since Last Purchase]]&gt;21,Customer_Table[[#This Row],[Satisfaction Level]] = "Unsatisfied"), "At Risk", "Low Risk")</f>
        <v>At Risk</v>
      </c>
      <c r="M70" t="str">
        <f t="shared" si="1"/>
        <v>41-43</v>
      </c>
      <c r="N70" t="str">
        <f xml:space="preserve"> IF(Customer_Table[[#This Row],[Total Spend]] &gt;= 1000, "High", IF(Customer_Table[[#This Row],[Total Spend]]&gt;= 600, "Medium", "Low"))</f>
        <v>Low</v>
      </c>
      <c r="O7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71" spans="1:15" x14ac:dyDescent="0.25">
      <c r="A71" s="1">
        <v>170</v>
      </c>
      <c r="B71" t="s">
        <v>15</v>
      </c>
      <c r="C71">
        <v>30</v>
      </c>
      <c r="D71" t="s">
        <v>22</v>
      </c>
      <c r="E71" t="s">
        <v>13</v>
      </c>
      <c r="F71" s="3">
        <v>1460.5</v>
      </c>
      <c r="G71">
        <v>20</v>
      </c>
      <c r="H71">
        <v>4.8</v>
      </c>
      <c r="I71" s="1" t="b">
        <v>0</v>
      </c>
      <c r="J71">
        <v>12</v>
      </c>
      <c r="K71" t="s">
        <v>14</v>
      </c>
      <c r="L71" t="str">
        <f xml:space="preserve"> IF(AND(Customer_Table[[#This Row],[Days Since Last Purchase]]&gt;21,Customer_Table[[#This Row],[Satisfaction Level]] = "Unsatisfied"), "At Risk", "Low Risk")</f>
        <v>Low Risk</v>
      </c>
      <c r="M71" t="str">
        <f t="shared" si="1"/>
        <v>26-30</v>
      </c>
      <c r="N71" t="str">
        <f xml:space="preserve"> IF(Customer_Table[[#This Row],[Total Spend]] &gt;= 1000, "High", IF(Customer_Table[[#This Row],[Total Spend]]&gt;= 600, "Medium", "Low"))</f>
        <v>High</v>
      </c>
      <c r="O7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72" spans="1:15" x14ac:dyDescent="0.25">
      <c r="A72" s="1">
        <v>171</v>
      </c>
      <c r="B72" t="s">
        <v>15</v>
      </c>
      <c r="C72">
        <v>27</v>
      </c>
      <c r="D72" t="s">
        <v>23</v>
      </c>
      <c r="E72" t="s">
        <v>17</v>
      </c>
      <c r="F72" s="3">
        <v>700.4</v>
      </c>
      <c r="G72">
        <v>13</v>
      </c>
      <c r="H72">
        <v>4</v>
      </c>
      <c r="I72" s="1" t="b">
        <v>1</v>
      </c>
      <c r="J72">
        <v>53</v>
      </c>
      <c r="K72" t="s">
        <v>21</v>
      </c>
      <c r="L72" t="str">
        <f xml:space="preserve"> IF(AND(Customer_Table[[#This Row],[Days Since Last Purchase]]&gt;21,Customer_Table[[#This Row],[Satisfaction Level]] = "Unsatisfied"), "At Risk", "Low Risk")</f>
        <v>At Risk</v>
      </c>
      <c r="M72" t="str">
        <f t="shared" si="1"/>
        <v>26-30</v>
      </c>
      <c r="N72" t="str">
        <f xml:space="preserve"> IF(Customer_Table[[#This Row],[Total Spend]] &gt;= 1000, "High", IF(Customer_Table[[#This Row],[Total Spend]]&gt;= 600, "Medium", "Low"))</f>
        <v>Medium</v>
      </c>
      <c r="O7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73" spans="1:15" x14ac:dyDescent="0.25">
      <c r="A73" s="1">
        <v>172</v>
      </c>
      <c r="B73" t="s">
        <v>11</v>
      </c>
      <c r="C73">
        <v>37</v>
      </c>
      <c r="D73" t="s">
        <v>24</v>
      </c>
      <c r="E73" t="s">
        <v>20</v>
      </c>
      <c r="F73" s="3">
        <v>420.8</v>
      </c>
      <c r="G73">
        <v>7</v>
      </c>
      <c r="H73">
        <v>3.1</v>
      </c>
      <c r="I73" s="1" t="b">
        <v>0</v>
      </c>
      <c r="J73">
        <v>21</v>
      </c>
      <c r="K73" t="s">
        <v>18</v>
      </c>
      <c r="L73" t="str">
        <f xml:space="preserve"> IF(AND(Customer_Table[[#This Row],[Days Since Last Purchase]]&gt;21,Customer_Table[[#This Row],[Satisfaction Level]] = "Unsatisfied"), "At Risk", "Low Risk")</f>
        <v>Low Risk</v>
      </c>
      <c r="M73" t="str">
        <f t="shared" si="1"/>
        <v>36-40</v>
      </c>
      <c r="N73" t="str">
        <f xml:space="preserve"> IF(Customer_Table[[#This Row],[Total Spend]] &gt;= 1000, "High", IF(Customer_Table[[#This Row],[Total Spend]]&gt;= 600, "Medium", "Low"))</f>
        <v>Low</v>
      </c>
      <c r="O7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74" spans="1:15" x14ac:dyDescent="0.25">
      <c r="A74" s="1">
        <v>173</v>
      </c>
      <c r="B74" t="s">
        <v>11</v>
      </c>
      <c r="C74">
        <v>31</v>
      </c>
      <c r="D74" t="s">
        <v>12</v>
      </c>
      <c r="E74" t="s">
        <v>13</v>
      </c>
      <c r="F74" s="3">
        <v>1130.5999999999999</v>
      </c>
      <c r="G74">
        <v>15</v>
      </c>
      <c r="H74">
        <v>4.5</v>
      </c>
      <c r="I74" s="1" t="b">
        <v>1</v>
      </c>
      <c r="J74">
        <v>26</v>
      </c>
      <c r="K74" t="s">
        <v>14</v>
      </c>
      <c r="L74" t="str">
        <f xml:space="preserve"> IF(AND(Customer_Table[[#This Row],[Days Since Last Purchase]]&gt;21,Customer_Table[[#This Row],[Satisfaction Level]] = "Unsatisfied"), "At Risk", "Low Risk")</f>
        <v>Low Risk</v>
      </c>
      <c r="M74" t="str">
        <f t="shared" si="1"/>
        <v>31-35</v>
      </c>
      <c r="N74" t="str">
        <f xml:space="preserve"> IF(Customer_Table[[#This Row],[Total Spend]] &gt;= 1000, "High", IF(Customer_Table[[#This Row],[Total Spend]]&gt;= 600, "Medium", "Low"))</f>
        <v>High</v>
      </c>
      <c r="O7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75" spans="1:15" x14ac:dyDescent="0.25">
      <c r="A75" s="1">
        <v>174</v>
      </c>
      <c r="B75" t="s">
        <v>15</v>
      </c>
      <c r="C75">
        <v>35</v>
      </c>
      <c r="D75" t="s">
        <v>16</v>
      </c>
      <c r="E75" t="s">
        <v>17</v>
      </c>
      <c r="F75" s="3">
        <v>820.9</v>
      </c>
      <c r="G75">
        <v>12</v>
      </c>
      <c r="H75">
        <v>4.3</v>
      </c>
      <c r="I75" s="1" t="b">
        <v>0</v>
      </c>
      <c r="J75">
        <v>12</v>
      </c>
      <c r="K75" t="s">
        <v>18</v>
      </c>
      <c r="L75" t="str">
        <f xml:space="preserve"> IF(AND(Customer_Table[[#This Row],[Days Since Last Purchase]]&gt;21,Customer_Table[[#This Row],[Satisfaction Level]] = "Unsatisfied"), "At Risk", "Low Risk")</f>
        <v>Low Risk</v>
      </c>
      <c r="M75" t="str">
        <f t="shared" si="1"/>
        <v>31-35</v>
      </c>
      <c r="N75" t="str">
        <f xml:space="preserve"> IF(Customer_Table[[#This Row],[Total Spend]] &gt;= 1000, "High", IF(Customer_Table[[#This Row],[Total Spend]]&gt;= 600, "Medium", "Low"))</f>
        <v>Medium</v>
      </c>
      <c r="O7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76" spans="1:15" x14ac:dyDescent="0.25">
      <c r="A76" s="1">
        <v>175</v>
      </c>
      <c r="B76" t="s">
        <v>11</v>
      </c>
      <c r="C76">
        <v>41</v>
      </c>
      <c r="D76" t="s">
        <v>19</v>
      </c>
      <c r="E76" t="s">
        <v>20</v>
      </c>
      <c r="F76" s="3">
        <v>480.25</v>
      </c>
      <c r="G76">
        <v>9</v>
      </c>
      <c r="H76">
        <v>3.6</v>
      </c>
      <c r="I76" s="1" t="b">
        <v>1</v>
      </c>
      <c r="J76">
        <v>38</v>
      </c>
      <c r="K76" t="s">
        <v>21</v>
      </c>
      <c r="L76" t="str">
        <f xml:space="preserve"> IF(AND(Customer_Table[[#This Row],[Days Since Last Purchase]]&gt;21,Customer_Table[[#This Row],[Satisfaction Level]] = "Unsatisfied"), "At Risk", "Low Risk")</f>
        <v>At Risk</v>
      </c>
      <c r="M76" t="str">
        <f t="shared" si="1"/>
        <v>41-43</v>
      </c>
      <c r="N76" t="str">
        <f xml:space="preserve"> IF(Customer_Table[[#This Row],[Total Spend]] &gt;= 1000, "High", IF(Customer_Table[[#This Row],[Total Spend]]&gt;= 600, "Medium", "Low"))</f>
        <v>Low</v>
      </c>
      <c r="O7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77" spans="1:15" x14ac:dyDescent="0.25">
      <c r="A77" s="1">
        <v>176</v>
      </c>
      <c r="B77" t="s">
        <v>15</v>
      </c>
      <c r="C77">
        <v>28</v>
      </c>
      <c r="D77" t="s">
        <v>22</v>
      </c>
      <c r="E77" t="s">
        <v>13</v>
      </c>
      <c r="F77" s="3">
        <v>1490.1</v>
      </c>
      <c r="G77">
        <v>21</v>
      </c>
      <c r="H77">
        <v>4.9000000000000004</v>
      </c>
      <c r="I77" s="1" t="b">
        <v>0</v>
      </c>
      <c r="J77">
        <v>9</v>
      </c>
      <c r="K77" t="s">
        <v>14</v>
      </c>
      <c r="L77" t="str">
        <f xml:space="preserve"> IF(AND(Customer_Table[[#This Row],[Days Since Last Purchase]]&gt;21,Customer_Table[[#This Row],[Satisfaction Level]] = "Unsatisfied"), "At Risk", "Low Risk")</f>
        <v>Low Risk</v>
      </c>
      <c r="M77" t="str">
        <f t="shared" si="1"/>
        <v>26-30</v>
      </c>
      <c r="N77" t="str">
        <f xml:space="preserve"> IF(Customer_Table[[#This Row],[Total Spend]] &gt;= 1000, "High", IF(Customer_Table[[#This Row],[Total Spend]]&gt;= 600, "Medium", "Low"))</f>
        <v>High</v>
      </c>
      <c r="O7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78" spans="1:15" x14ac:dyDescent="0.25">
      <c r="A78" s="1">
        <v>177</v>
      </c>
      <c r="B78" t="s">
        <v>15</v>
      </c>
      <c r="C78">
        <v>32</v>
      </c>
      <c r="D78" t="s">
        <v>23</v>
      </c>
      <c r="E78" t="s">
        <v>17</v>
      </c>
      <c r="F78" s="3">
        <v>680.3</v>
      </c>
      <c r="G78">
        <v>10</v>
      </c>
      <c r="H78">
        <v>3.8</v>
      </c>
      <c r="I78" s="1" t="b">
        <v>1</v>
      </c>
      <c r="J78">
        <v>32</v>
      </c>
      <c r="K78" t="s">
        <v>21</v>
      </c>
      <c r="L78" t="str">
        <f xml:space="preserve"> IF(AND(Customer_Table[[#This Row],[Days Since Last Purchase]]&gt;21,Customer_Table[[#This Row],[Satisfaction Level]] = "Unsatisfied"), "At Risk", "Low Risk")</f>
        <v>At Risk</v>
      </c>
      <c r="M78" t="str">
        <f t="shared" si="1"/>
        <v>31-35</v>
      </c>
      <c r="N78" t="str">
        <f xml:space="preserve"> IF(Customer_Table[[#This Row],[Total Spend]] &gt;= 1000, "High", IF(Customer_Table[[#This Row],[Total Spend]]&gt;= 600, "Medium", "Low"))</f>
        <v>Medium</v>
      </c>
      <c r="O7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79" spans="1:15" x14ac:dyDescent="0.25">
      <c r="A79" s="1">
        <v>178</v>
      </c>
      <c r="B79" t="s">
        <v>11</v>
      </c>
      <c r="C79">
        <v>36</v>
      </c>
      <c r="D79" t="s">
        <v>24</v>
      </c>
      <c r="E79" t="s">
        <v>20</v>
      </c>
      <c r="F79" s="3">
        <v>470.5</v>
      </c>
      <c r="G79">
        <v>8</v>
      </c>
      <c r="H79">
        <v>3</v>
      </c>
      <c r="I79" s="1" t="b">
        <v>0</v>
      </c>
      <c r="J79">
        <v>18</v>
      </c>
      <c r="K79" t="s">
        <v>18</v>
      </c>
      <c r="L79" t="str">
        <f xml:space="preserve"> IF(AND(Customer_Table[[#This Row],[Days Since Last Purchase]]&gt;21,Customer_Table[[#This Row],[Satisfaction Level]] = "Unsatisfied"), "At Risk", "Low Risk")</f>
        <v>Low Risk</v>
      </c>
      <c r="M79" t="str">
        <f t="shared" si="1"/>
        <v>36-40</v>
      </c>
      <c r="N79" t="str">
        <f xml:space="preserve"> IF(Customer_Table[[#This Row],[Total Spend]] &gt;= 1000, "High", IF(Customer_Table[[#This Row],[Total Spend]]&gt;= 600, "Medium", "Low"))</f>
        <v>Low</v>
      </c>
      <c r="O7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80" spans="1:15" x14ac:dyDescent="0.25">
      <c r="A80" s="1">
        <v>179</v>
      </c>
      <c r="B80" t="s">
        <v>11</v>
      </c>
      <c r="C80">
        <v>30</v>
      </c>
      <c r="D80" t="s">
        <v>12</v>
      </c>
      <c r="E80" t="s">
        <v>13</v>
      </c>
      <c r="F80" s="3">
        <v>1180.8</v>
      </c>
      <c r="G80">
        <v>16</v>
      </c>
      <c r="H80">
        <v>4.7</v>
      </c>
      <c r="I80" s="1" t="b">
        <v>1</v>
      </c>
      <c r="J80">
        <v>19</v>
      </c>
      <c r="K80" t="s">
        <v>14</v>
      </c>
      <c r="L80" t="str">
        <f xml:space="preserve"> IF(AND(Customer_Table[[#This Row],[Days Since Last Purchase]]&gt;21,Customer_Table[[#This Row],[Satisfaction Level]] = "Unsatisfied"), "At Risk", "Low Risk")</f>
        <v>Low Risk</v>
      </c>
      <c r="M80" t="str">
        <f t="shared" si="1"/>
        <v>26-30</v>
      </c>
      <c r="N80" t="str">
        <f xml:space="preserve"> IF(Customer_Table[[#This Row],[Total Spend]] &gt;= 1000, "High", IF(Customer_Table[[#This Row],[Total Spend]]&gt;= 600, "Medium", "Low"))</f>
        <v>High</v>
      </c>
      <c r="O8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81" spans="1:15" x14ac:dyDescent="0.25">
      <c r="A81" s="1">
        <v>180</v>
      </c>
      <c r="B81" t="s">
        <v>15</v>
      </c>
      <c r="C81">
        <v>34</v>
      </c>
      <c r="D81" t="s">
        <v>16</v>
      </c>
      <c r="E81" t="s">
        <v>17</v>
      </c>
      <c r="F81" s="3">
        <v>790.2</v>
      </c>
      <c r="G81">
        <v>11</v>
      </c>
      <c r="H81">
        <v>4</v>
      </c>
      <c r="I81" s="1" t="b">
        <v>0</v>
      </c>
      <c r="J81">
        <v>15</v>
      </c>
      <c r="K81" t="s">
        <v>18</v>
      </c>
      <c r="L81" t="str">
        <f xml:space="preserve"> IF(AND(Customer_Table[[#This Row],[Days Since Last Purchase]]&gt;21,Customer_Table[[#This Row],[Satisfaction Level]] = "Unsatisfied"), "At Risk", "Low Risk")</f>
        <v>Low Risk</v>
      </c>
      <c r="M81" t="str">
        <f t="shared" si="1"/>
        <v>31-35</v>
      </c>
      <c r="N81" t="str">
        <f xml:space="preserve"> IF(Customer_Table[[#This Row],[Total Spend]] &gt;= 1000, "High", IF(Customer_Table[[#This Row],[Total Spend]]&gt;= 600, "Medium", "Low"))</f>
        <v>Medium</v>
      </c>
      <c r="O8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82" spans="1:15" x14ac:dyDescent="0.25">
      <c r="A82" s="1">
        <v>181</v>
      </c>
      <c r="B82" t="s">
        <v>11</v>
      </c>
      <c r="C82">
        <v>43</v>
      </c>
      <c r="D82" t="s">
        <v>19</v>
      </c>
      <c r="E82" t="s">
        <v>20</v>
      </c>
      <c r="F82" s="3">
        <v>505.75</v>
      </c>
      <c r="G82">
        <v>10</v>
      </c>
      <c r="H82">
        <v>3.3</v>
      </c>
      <c r="I82" s="1" t="b">
        <v>1</v>
      </c>
      <c r="J82">
        <v>39</v>
      </c>
      <c r="K82" t="s">
        <v>21</v>
      </c>
      <c r="L82" t="str">
        <f xml:space="preserve"> IF(AND(Customer_Table[[#This Row],[Days Since Last Purchase]]&gt;21,Customer_Table[[#This Row],[Satisfaction Level]] = "Unsatisfied"), "At Risk", "Low Risk")</f>
        <v>At Risk</v>
      </c>
      <c r="M82" t="str">
        <f t="shared" si="1"/>
        <v>41-43</v>
      </c>
      <c r="N82" t="str">
        <f xml:space="preserve"> IF(Customer_Table[[#This Row],[Total Spend]] &gt;= 1000, "High", IF(Customer_Table[[#This Row],[Total Spend]]&gt;= 600, "Medium", "Low"))</f>
        <v>Low</v>
      </c>
      <c r="O8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83" spans="1:15" x14ac:dyDescent="0.25">
      <c r="A83" s="1">
        <v>182</v>
      </c>
      <c r="B83" t="s">
        <v>15</v>
      </c>
      <c r="C83">
        <v>30</v>
      </c>
      <c r="D83" t="s">
        <v>22</v>
      </c>
      <c r="E83" t="s">
        <v>13</v>
      </c>
      <c r="F83" s="3">
        <v>1470.5</v>
      </c>
      <c r="G83">
        <v>20</v>
      </c>
      <c r="H83">
        <v>4.8</v>
      </c>
      <c r="I83" s="1" t="b">
        <v>0</v>
      </c>
      <c r="J83">
        <v>13</v>
      </c>
      <c r="K83" t="s">
        <v>14</v>
      </c>
      <c r="L83" t="str">
        <f xml:space="preserve"> IF(AND(Customer_Table[[#This Row],[Days Since Last Purchase]]&gt;21,Customer_Table[[#This Row],[Satisfaction Level]] = "Unsatisfied"), "At Risk", "Low Risk")</f>
        <v>Low Risk</v>
      </c>
      <c r="M83" t="str">
        <f t="shared" si="1"/>
        <v>26-30</v>
      </c>
      <c r="N83" t="str">
        <f xml:space="preserve"> IF(Customer_Table[[#This Row],[Total Spend]] &gt;= 1000, "High", IF(Customer_Table[[#This Row],[Total Spend]]&gt;= 600, "Medium", "Low"))</f>
        <v>High</v>
      </c>
      <c r="O8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84" spans="1:15" x14ac:dyDescent="0.25">
      <c r="A84" s="1">
        <v>183</v>
      </c>
      <c r="B84" t="s">
        <v>15</v>
      </c>
      <c r="C84">
        <v>27</v>
      </c>
      <c r="D84" t="s">
        <v>23</v>
      </c>
      <c r="E84" t="s">
        <v>17</v>
      </c>
      <c r="F84" s="3">
        <v>710.4</v>
      </c>
      <c r="G84">
        <v>13</v>
      </c>
      <c r="H84">
        <v>4.0999999999999996</v>
      </c>
      <c r="I84" s="1" t="b">
        <v>1</v>
      </c>
      <c r="J84">
        <v>54</v>
      </c>
      <c r="K84" t="s">
        <v>21</v>
      </c>
      <c r="L84" t="str">
        <f xml:space="preserve"> IF(AND(Customer_Table[[#This Row],[Days Since Last Purchase]]&gt;21,Customer_Table[[#This Row],[Satisfaction Level]] = "Unsatisfied"), "At Risk", "Low Risk")</f>
        <v>At Risk</v>
      </c>
      <c r="M84" t="str">
        <f t="shared" si="1"/>
        <v>26-30</v>
      </c>
      <c r="N84" t="str">
        <f xml:space="preserve"> IF(Customer_Table[[#This Row],[Total Spend]] &gt;= 1000, "High", IF(Customer_Table[[#This Row],[Total Spend]]&gt;= 600, "Medium", "Low"))</f>
        <v>Medium</v>
      </c>
      <c r="O8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85" spans="1:15" x14ac:dyDescent="0.25">
      <c r="A85" s="1">
        <v>184</v>
      </c>
      <c r="B85" t="s">
        <v>11</v>
      </c>
      <c r="C85">
        <v>37</v>
      </c>
      <c r="D85" t="s">
        <v>24</v>
      </c>
      <c r="E85" t="s">
        <v>20</v>
      </c>
      <c r="F85" s="3">
        <v>430.8</v>
      </c>
      <c r="G85">
        <v>7</v>
      </c>
      <c r="H85">
        <v>3.4</v>
      </c>
      <c r="I85" s="1" t="b">
        <v>0</v>
      </c>
      <c r="J85">
        <v>23</v>
      </c>
      <c r="K85" t="s">
        <v>18</v>
      </c>
      <c r="L85" t="str">
        <f xml:space="preserve"> IF(AND(Customer_Table[[#This Row],[Days Since Last Purchase]]&gt;21,Customer_Table[[#This Row],[Satisfaction Level]] = "Unsatisfied"), "At Risk", "Low Risk")</f>
        <v>Low Risk</v>
      </c>
      <c r="M85" t="str">
        <f t="shared" si="1"/>
        <v>36-40</v>
      </c>
      <c r="N85" t="str">
        <f xml:space="preserve"> IF(Customer_Table[[#This Row],[Total Spend]] &gt;= 1000, "High", IF(Customer_Table[[#This Row],[Total Spend]]&gt;= 600, "Medium", "Low"))</f>
        <v>Low</v>
      </c>
      <c r="O8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86" spans="1:15" x14ac:dyDescent="0.25">
      <c r="A86" s="1">
        <v>185</v>
      </c>
      <c r="B86" t="s">
        <v>11</v>
      </c>
      <c r="C86">
        <v>31</v>
      </c>
      <c r="D86" t="s">
        <v>12</v>
      </c>
      <c r="E86" t="s">
        <v>13</v>
      </c>
      <c r="F86" s="3">
        <v>1140.5999999999999</v>
      </c>
      <c r="G86">
        <v>15</v>
      </c>
      <c r="H86">
        <v>4.5999999999999996</v>
      </c>
      <c r="I86" s="1" t="b">
        <v>1</v>
      </c>
      <c r="J86">
        <v>27</v>
      </c>
      <c r="K86" t="s">
        <v>14</v>
      </c>
      <c r="L86" t="str">
        <f xml:space="preserve"> IF(AND(Customer_Table[[#This Row],[Days Since Last Purchase]]&gt;21,Customer_Table[[#This Row],[Satisfaction Level]] = "Unsatisfied"), "At Risk", "Low Risk")</f>
        <v>Low Risk</v>
      </c>
      <c r="M86" t="str">
        <f t="shared" si="1"/>
        <v>31-35</v>
      </c>
      <c r="N86" t="str">
        <f xml:space="preserve"> IF(Customer_Table[[#This Row],[Total Spend]] &gt;= 1000, "High", IF(Customer_Table[[#This Row],[Total Spend]]&gt;= 600, "Medium", "Low"))</f>
        <v>High</v>
      </c>
      <c r="O8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87" spans="1:15" x14ac:dyDescent="0.25">
      <c r="A87" s="1">
        <v>186</v>
      </c>
      <c r="B87" t="s">
        <v>15</v>
      </c>
      <c r="C87">
        <v>35</v>
      </c>
      <c r="D87" t="s">
        <v>16</v>
      </c>
      <c r="E87" t="s">
        <v>17</v>
      </c>
      <c r="F87" s="3">
        <v>810.9</v>
      </c>
      <c r="G87">
        <v>12</v>
      </c>
      <c r="H87">
        <v>4.3</v>
      </c>
      <c r="I87" s="1" t="b">
        <v>0</v>
      </c>
      <c r="J87">
        <v>13</v>
      </c>
      <c r="K87" t="s">
        <v>18</v>
      </c>
      <c r="L87" t="str">
        <f xml:space="preserve"> IF(AND(Customer_Table[[#This Row],[Days Since Last Purchase]]&gt;21,Customer_Table[[#This Row],[Satisfaction Level]] = "Unsatisfied"), "At Risk", "Low Risk")</f>
        <v>Low Risk</v>
      </c>
      <c r="M87" t="str">
        <f t="shared" si="1"/>
        <v>31-35</v>
      </c>
      <c r="N87" t="str">
        <f xml:space="preserve"> IF(Customer_Table[[#This Row],[Total Spend]] &gt;= 1000, "High", IF(Customer_Table[[#This Row],[Total Spend]]&gt;= 600, "Medium", "Low"))</f>
        <v>Medium</v>
      </c>
      <c r="O8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88" spans="1:15" x14ac:dyDescent="0.25">
      <c r="A88" s="1">
        <v>187</v>
      </c>
      <c r="B88" t="s">
        <v>11</v>
      </c>
      <c r="C88">
        <v>41</v>
      </c>
      <c r="D88" t="s">
        <v>19</v>
      </c>
      <c r="E88" t="s">
        <v>20</v>
      </c>
      <c r="F88" s="3">
        <v>485.25</v>
      </c>
      <c r="G88">
        <v>9</v>
      </c>
      <c r="H88">
        <v>3.6</v>
      </c>
      <c r="I88" s="1" t="b">
        <v>1</v>
      </c>
      <c r="J88">
        <v>39</v>
      </c>
      <c r="K88" t="s">
        <v>21</v>
      </c>
      <c r="L88" t="str">
        <f xml:space="preserve"> IF(AND(Customer_Table[[#This Row],[Days Since Last Purchase]]&gt;21,Customer_Table[[#This Row],[Satisfaction Level]] = "Unsatisfied"), "At Risk", "Low Risk")</f>
        <v>At Risk</v>
      </c>
      <c r="M88" t="str">
        <f t="shared" si="1"/>
        <v>41-43</v>
      </c>
      <c r="N88" t="str">
        <f xml:space="preserve"> IF(Customer_Table[[#This Row],[Total Spend]] &gt;= 1000, "High", IF(Customer_Table[[#This Row],[Total Spend]]&gt;= 600, "Medium", "Low"))</f>
        <v>Low</v>
      </c>
      <c r="O8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89" spans="1:15" x14ac:dyDescent="0.25">
      <c r="A89" s="1">
        <v>188</v>
      </c>
      <c r="B89" t="s">
        <v>15</v>
      </c>
      <c r="C89">
        <v>28</v>
      </c>
      <c r="D89" t="s">
        <v>22</v>
      </c>
      <c r="E89" t="s">
        <v>13</v>
      </c>
      <c r="F89" s="3">
        <v>1500.1</v>
      </c>
      <c r="G89">
        <v>21</v>
      </c>
      <c r="H89">
        <v>4.9000000000000004</v>
      </c>
      <c r="I89" s="1" t="b">
        <v>0</v>
      </c>
      <c r="J89">
        <v>10</v>
      </c>
      <c r="K89" t="s">
        <v>14</v>
      </c>
      <c r="L89" t="str">
        <f xml:space="preserve"> IF(AND(Customer_Table[[#This Row],[Days Since Last Purchase]]&gt;21,Customer_Table[[#This Row],[Satisfaction Level]] = "Unsatisfied"), "At Risk", "Low Risk")</f>
        <v>Low Risk</v>
      </c>
      <c r="M89" t="str">
        <f t="shared" si="1"/>
        <v>26-30</v>
      </c>
      <c r="N89" t="str">
        <f xml:space="preserve"> IF(Customer_Table[[#This Row],[Total Spend]] &gt;= 1000, "High", IF(Customer_Table[[#This Row],[Total Spend]]&gt;= 600, "Medium", "Low"))</f>
        <v>High</v>
      </c>
      <c r="O8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90" spans="1:15" x14ac:dyDescent="0.25">
      <c r="A90" s="1">
        <v>189</v>
      </c>
      <c r="B90" t="s">
        <v>15</v>
      </c>
      <c r="C90">
        <v>32</v>
      </c>
      <c r="D90" t="s">
        <v>23</v>
      </c>
      <c r="E90" t="s">
        <v>17</v>
      </c>
      <c r="F90" s="3">
        <v>670.3</v>
      </c>
      <c r="G90">
        <v>10</v>
      </c>
      <c r="H90">
        <v>3.8</v>
      </c>
      <c r="I90" s="1" t="b">
        <v>1</v>
      </c>
      <c r="J90">
        <v>33</v>
      </c>
      <c r="K90" t="s">
        <v>21</v>
      </c>
      <c r="L90" t="str">
        <f xml:space="preserve"> IF(AND(Customer_Table[[#This Row],[Days Since Last Purchase]]&gt;21,Customer_Table[[#This Row],[Satisfaction Level]] = "Unsatisfied"), "At Risk", "Low Risk")</f>
        <v>At Risk</v>
      </c>
      <c r="M90" t="str">
        <f t="shared" si="1"/>
        <v>31-35</v>
      </c>
      <c r="N90" t="str">
        <f xml:space="preserve"> IF(Customer_Table[[#This Row],[Total Spend]] &gt;= 1000, "High", IF(Customer_Table[[#This Row],[Total Spend]]&gt;= 600, "Medium", "Low"))</f>
        <v>Medium</v>
      </c>
      <c r="O9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91" spans="1:15" x14ac:dyDescent="0.25">
      <c r="A91" s="1">
        <v>190</v>
      </c>
      <c r="B91" t="s">
        <v>11</v>
      </c>
      <c r="C91">
        <v>36</v>
      </c>
      <c r="D91" t="s">
        <v>24</v>
      </c>
      <c r="E91" t="s">
        <v>20</v>
      </c>
      <c r="F91" s="3">
        <v>460.5</v>
      </c>
      <c r="G91">
        <v>8</v>
      </c>
      <c r="H91">
        <v>3.1</v>
      </c>
      <c r="I91" s="1" t="b">
        <v>0</v>
      </c>
      <c r="J91">
        <v>19</v>
      </c>
      <c r="K91" t="s">
        <v>18</v>
      </c>
      <c r="L91" t="str">
        <f xml:space="preserve"> IF(AND(Customer_Table[[#This Row],[Days Since Last Purchase]]&gt;21,Customer_Table[[#This Row],[Satisfaction Level]] = "Unsatisfied"), "At Risk", "Low Risk")</f>
        <v>Low Risk</v>
      </c>
      <c r="M91" t="str">
        <f t="shared" si="1"/>
        <v>36-40</v>
      </c>
      <c r="N91" t="str">
        <f xml:space="preserve"> IF(Customer_Table[[#This Row],[Total Spend]] &gt;= 1000, "High", IF(Customer_Table[[#This Row],[Total Spend]]&gt;= 600, "Medium", "Low"))</f>
        <v>Low</v>
      </c>
      <c r="O9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92" spans="1:15" x14ac:dyDescent="0.25">
      <c r="A92" s="1">
        <v>191</v>
      </c>
      <c r="B92" t="s">
        <v>11</v>
      </c>
      <c r="C92">
        <v>30</v>
      </c>
      <c r="D92" t="s">
        <v>12</v>
      </c>
      <c r="E92" t="s">
        <v>13</v>
      </c>
      <c r="F92" s="3">
        <v>1190.8</v>
      </c>
      <c r="G92">
        <v>16</v>
      </c>
      <c r="H92">
        <v>4.5</v>
      </c>
      <c r="I92" s="1" t="b">
        <v>1</v>
      </c>
      <c r="J92">
        <v>20</v>
      </c>
      <c r="K92" t="s">
        <v>14</v>
      </c>
      <c r="L92" t="str">
        <f xml:space="preserve"> IF(AND(Customer_Table[[#This Row],[Days Since Last Purchase]]&gt;21,Customer_Table[[#This Row],[Satisfaction Level]] = "Unsatisfied"), "At Risk", "Low Risk")</f>
        <v>Low Risk</v>
      </c>
      <c r="M92" t="str">
        <f t="shared" si="1"/>
        <v>26-30</v>
      </c>
      <c r="N92" t="str">
        <f xml:space="preserve"> IF(Customer_Table[[#This Row],[Total Spend]] &gt;= 1000, "High", IF(Customer_Table[[#This Row],[Total Spend]]&gt;= 600, "Medium", "Low"))</f>
        <v>High</v>
      </c>
      <c r="O9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93" spans="1:15" x14ac:dyDescent="0.25">
      <c r="A93" s="1">
        <v>192</v>
      </c>
      <c r="B93" t="s">
        <v>15</v>
      </c>
      <c r="C93">
        <v>33</v>
      </c>
      <c r="D93" t="s">
        <v>16</v>
      </c>
      <c r="E93" t="s">
        <v>17</v>
      </c>
      <c r="F93" s="3">
        <v>830.75</v>
      </c>
      <c r="G93">
        <v>13</v>
      </c>
      <c r="H93">
        <v>4.2</v>
      </c>
      <c r="I93" s="1" t="b">
        <v>0</v>
      </c>
      <c r="J93">
        <v>14</v>
      </c>
      <c r="K93" t="s">
        <v>14</v>
      </c>
      <c r="L93" t="str">
        <f xml:space="preserve"> IF(AND(Customer_Table[[#This Row],[Days Since Last Purchase]]&gt;21,Customer_Table[[#This Row],[Satisfaction Level]] = "Unsatisfied"), "At Risk", "Low Risk")</f>
        <v>Low Risk</v>
      </c>
      <c r="M93" t="str">
        <f t="shared" si="1"/>
        <v>31-35</v>
      </c>
      <c r="N93" t="str">
        <f xml:space="preserve"> IF(Customer_Table[[#This Row],[Total Spend]] &gt;= 1000, "High", IF(Customer_Table[[#This Row],[Total Spend]]&gt;= 600, "Medium", "Low"))</f>
        <v>Medium</v>
      </c>
      <c r="O9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94" spans="1:15" x14ac:dyDescent="0.25">
      <c r="A94" s="1">
        <v>193</v>
      </c>
      <c r="B94" t="s">
        <v>11</v>
      </c>
      <c r="C94">
        <v>42</v>
      </c>
      <c r="D94" t="s">
        <v>19</v>
      </c>
      <c r="E94" t="s">
        <v>20</v>
      </c>
      <c r="F94" s="3">
        <v>520.4</v>
      </c>
      <c r="G94">
        <v>9</v>
      </c>
      <c r="H94">
        <v>3.5</v>
      </c>
      <c r="I94" s="1" t="b">
        <v>1</v>
      </c>
      <c r="J94">
        <v>37</v>
      </c>
      <c r="K94" t="s">
        <v>21</v>
      </c>
      <c r="L94" t="str">
        <f xml:space="preserve"> IF(AND(Customer_Table[[#This Row],[Days Since Last Purchase]]&gt;21,Customer_Table[[#This Row],[Satisfaction Level]] = "Unsatisfied"), "At Risk", "Low Risk")</f>
        <v>At Risk</v>
      </c>
      <c r="M94" t="str">
        <f t="shared" si="1"/>
        <v>41-43</v>
      </c>
      <c r="N94" t="str">
        <f xml:space="preserve"> IF(Customer_Table[[#This Row],[Total Spend]] &gt;= 1000, "High", IF(Customer_Table[[#This Row],[Total Spend]]&gt;= 600, "Medium", "Low"))</f>
        <v>Low</v>
      </c>
      <c r="O9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95" spans="1:15" x14ac:dyDescent="0.25">
      <c r="A95" s="1">
        <v>194</v>
      </c>
      <c r="B95" t="s">
        <v>15</v>
      </c>
      <c r="C95">
        <v>29</v>
      </c>
      <c r="D95" t="s">
        <v>22</v>
      </c>
      <c r="E95" t="s">
        <v>13</v>
      </c>
      <c r="F95" s="3">
        <v>1370.2</v>
      </c>
      <c r="G95">
        <v>18</v>
      </c>
      <c r="H95">
        <v>4.7</v>
      </c>
      <c r="I95" s="1" t="b">
        <v>0</v>
      </c>
      <c r="J95">
        <v>10</v>
      </c>
      <c r="K95" t="s">
        <v>14</v>
      </c>
      <c r="L95" t="str">
        <f xml:space="preserve"> IF(AND(Customer_Table[[#This Row],[Days Since Last Purchase]]&gt;21,Customer_Table[[#This Row],[Satisfaction Level]] = "Unsatisfied"), "At Risk", "Low Risk")</f>
        <v>Low Risk</v>
      </c>
      <c r="M95" t="str">
        <f t="shared" si="1"/>
        <v>26-30</v>
      </c>
      <c r="N95" t="str">
        <f xml:space="preserve"> IF(Customer_Table[[#This Row],[Total Spend]] &gt;= 1000, "High", IF(Customer_Table[[#This Row],[Total Spend]]&gt;= 600, "Medium", "Low"))</f>
        <v>High</v>
      </c>
      <c r="O9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96" spans="1:15" x14ac:dyDescent="0.25">
      <c r="A96" s="1">
        <v>195</v>
      </c>
      <c r="B96" t="s">
        <v>15</v>
      </c>
      <c r="C96">
        <v>26</v>
      </c>
      <c r="D96" t="s">
        <v>23</v>
      </c>
      <c r="E96" t="s">
        <v>17</v>
      </c>
      <c r="F96" s="3">
        <v>690.6</v>
      </c>
      <c r="G96">
        <v>12</v>
      </c>
      <c r="H96">
        <v>3.9</v>
      </c>
      <c r="I96" s="1" t="b">
        <v>1</v>
      </c>
      <c r="J96">
        <v>47</v>
      </c>
      <c r="K96" t="s">
        <v>21</v>
      </c>
      <c r="L96" t="str">
        <f xml:space="preserve"> IF(AND(Customer_Table[[#This Row],[Days Since Last Purchase]]&gt;21,Customer_Table[[#This Row],[Satisfaction Level]] = "Unsatisfied"), "At Risk", "Low Risk")</f>
        <v>At Risk</v>
      </c>
      <c r="M96" t="str">
        <f t="shared" si="1"/>
        <v>26-30</v>
      </c>
      <c r="N96" t="str">
        <f xml:space="preserve"> IF(Customer_Table[[#This Row],[Total Spend]] &gt;= 1000, "High", IF(Customer_Table[[#This Row],[Total Spend]]&gt;= 600, "Medium", "Low"))</f>
        <v>Medium</v>
      </c>
      <c r="O9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97" spans="1:15" x14ac:dyDescent="0.25">
      <c r="A97" s="1">
        <v>196</v>
      </c>
      <c r="B97" t="s">
        <v>11</v>
      </c>
      <c r="C97">
        <v>38</v>
      </c>
      <c r="D97" t="s">
        <v>24</v>
      </c>
      <c r="E97" t="s">
        <v>20</v>
      </c>
      <c r="F97" s="3">
        <v>440.9</v>
      </c>
      <c r="G97">
        <v>8</v>
      </c>
      <c r="H97">
        <v>3.2</v>
      </c>
      <c r="I97" s="1" t="b">
        <v>0</v>
      </c>
      <c r="J97">
        <v>24</v>
      </c>
      <c r="K97" t="s">
        <v>18</v>
      </c>
      <c r="L97" t="str">
        <f xml:space="preserve"> IF(AND(Customer_Table[[#This Row],[Days Since Last Purchase]]&gt;21,Customer_Table[[#This Row],[Satisfaction Level]] = "Unsatisfied"), "At Risk", "Low Risk")</f>
        <v>Low Risk</v>
      </c>
      <c r="M97" t="str">
        <f t="shared" si="1"/>
        <v>36-40</v>
      </c>
      <c r="N97" t="str">
        <f xml:space="preserve"> IF(Customer_Table[[#This Row],[Total Spend]] &gt;= 1000, "High", IF(Customer_Table[[#This Row],[Total Spend]]&gt;= 600, "Medium", "Low"))</f>
        <v>Low</v>
      </c>
      <c r="O9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98" spans="1:15" x14ac:dyDescent="0.25">
      <c r="A98" s="1">
        <v>197</v>
      </c>
      <c r="B98" t="s">
        <v>11</v>
      </c>
      <c r="C98">
        <v>32</v>
      </c>
      <c r="D98" t="s">
        <v>12</v>
      </c>
      <c r="E98" t="s">
        <v>13</v>
      </c>
      <c r="F98" s="3">
        <v>1160.3</v>
      </c>
      <c r="G98">
        <v>14</v>
      </c>
      <c r="H98">
        <v>4.4000000000000004</v>
      </c>
      <c r="I98" s="1" t="b">
        <v>1</v>
      </c>
      <c r="J98">
        <v>22</v>
      </c>
      <c r="K98" t="s">
        <v>14</v>
      </c>
      <c r="L98" t="str">
        <f xml:space="preserve"> IF(AND(Customer_Table[[#This Row],[Days Since Last Purchase]]&gt;21,Customer_Table[[#This Row],[Satisfaction Level]] = "Unsatisfied"), "At Risk", "Low Risk")</f>
        <v>Low Risk</v>
      </c>
      <c r="M98" t="str">
        <f t="shared" si="1"/>
        <v>31-35</v>
      </c>
      <c r="N98" t="str">
        <f xml:space="preserve"> IF(Customer_Table[[#This Row],[Total Spend]] &gt;= 1000, "High", IF(Customer_Table[[#This Row],[Total Spend]]&gt;= 600, "Medium", "Low"))</f>
        <v>High</v>
      </c>
      <c r="O9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99" spans="1:15" x14ac:dyDescent="0.25">
      <c r="A99" s="1">
        <v>198</v>
      </c>
      <c r="B99" t="s">
        <v>15</v>
      </c>
      <c r="C99">
        <v>34</v>
      </c>
      <c r="D99" t="s">
        <v>16</v>
      </c>
      <c r="E99" t="s">
        <v>17</v>
      </c>
      <c r="F99" s="3">
        <v>800.2</v>
      </c>
      <c r="G99">
        <v>11</v>
      </c>
      <c r="H99">
        <v>4.0999999999999996</v>
      </c>
      <c r="I99" s="1" t="b">
        <v>0</v>
      </c>
      <c r="J99">
        <v>17</v>
      </c>
      <c r="K99" t="s">
        <v>18</v>
      </c>
      <c r="L99" t="str">
        <f xml:space="preserve"> IF(AND(Customer_Table[[#This Row],[Days Since Last Purchase]]&gt;21,Customer_Table[[#This Row],[Satisfaction Level]] = "Unsatisfied"), "At Risk", "Low Risk")</f>
        <v>Low Risk</v>
      </c>
      <c r="M99" t="str">
        <f t="shared" si="1"/>
        <v>31-35</v>
      </c>
      <c r="N99" t="str">
        <f xml:space="preserve"> IF(Customer_Table[[#This Row],[Total Spend]] &gt;= 1000, "High", IF(Customer_Table[[#This Row],[Total Spend]]&gt;= 600, "Medium", "Low"))</f>
        <v>Medium</v>
      </c>
      <c r="O9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00" spans="1:15" x14ac:dyDescent="0.25">
      <c r="A100" s="1">
        <v>199</v>
      </c>
      <c r="B100" t="s">
        <v>11</v>
      </c>
      <c r="C100">
        <v>43</v>
      </c>
      <c r="D100" t="s">
        <v>19</v>
      </c>
      <c r="E100" t="s">
        <v>20</v>
      </c>
      <c r="F100" s="3">
        <v>500.75</v>
      </c>
      <c r="G100">
        <v>10</v>
      </c>
      <c r="H100">
        <v>3.3</v>
      </c>
      <c r="I100" s="1" t="b">
        <v>1</v>
      </c>
      <c r="J100">
        <v>40</v>
      </c>
      <c r="K100" t="s">
        <v>21</v>
      </c>
      <c r="L100" t="str">
        <f xml:space="preserve"> IF(AND(Customer_Table[[#This Row],[Days Since Last Purchase]]&gt;21,Customer_Table[[#This Row],[Satisfaction Level]] = "Unsatisfied"), "At Risk", "Low Risk")</f>
        <v>At Risk</v>
      </c>
      <c r="M100" t="str">
        <f t="shared" si="1"/>
        <v>41-43</v>
      </c>
      <c r="N100" t="str">
        <f xml:space="preserve"> IF(Customer_Table[[#This Row],[Total Spend]] &gt;= 1000, "High", IF(Customer_Table[[#This Row],[Total Spend]]&gt;= 600, "Medium", "Low"))</f>
        <v>Low</v>
      </c>
      <c r="O10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01" spans="1:15" x14ac:dyDescent="0.25">
      <c r="A101" s="1">
        <v>200</v>
      </c>
      <c r="B101" t="s">
        <v>15</v>
      </c>
      <c r="C101">
        <v>30</v>
      </c>
      <c r="D101" t="s">
        <v>22</v>
      </c>
      <c r="E101" t="s">
        <v>13</v>
      </c>
      <c r="F101" s="3">
        <v>1460.5</v>
      </c>
      <c r="G101">
        <v>20</v>
      </c>
      <c r="H101">
        <v>4.8</v>
      </c>
      <c r="I101" s="1" t="b">
        <v>0</v>
      </c>
      <c r="J101">
        <v>12</v>
      </c>
      <c r="K101" t="s">
        <v>14</v>
      </c>
      <c r="L101" t="str">
        <f xml:space="preserve"> IF(AND(Customer_Table[[#This Row],[Days Since Last Purchase]]&gt;21,Customer_Table[[#This Row],[Satisfaction Level]] = "Unsatisfied"), "At Risk", "Low Risk")</f>
        <v>Low Risk</v>
      </c>
      <c r="M101" t="str">
        <f t="shared" si="1"/>
        <v>26-30</v>
      </c>
      <c r="N101" t="str">
        <f xml:space="preserve"> IF(Customer_Table[[#This Row],[Total Spend]] &gt;= 1000, "High", IF(Customer_Table[[#This Row],[Total Spend]]&gt;= 600, "Medium", "Low"))</f>
        <v>High</v>
      </c>
      <c r="O10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02" spans="1:15" x14ac:dyDescent="0.25">
      <c r="A102" s="1">
        <v>201</v>
      </c>
      <c r="B102" t="s">
        <v>15</v>
      </c>
      <c r="C102">
        <v>27</v>
      </c>
      <c r="D102" t="s">
        <v>23</v>
      </c>
      <c r="E102" t="s">
        <v>17</v>
      </c>
      <c r="F102" s="3">
        <v>700.4</v>
      </c>
      <c r="G102">
        <v>13</v>
      </c>
      <c r="H102">
        <v>4</v>
      </c>
      <c r="I102" s="1" t="b">
        <v>1</v>
      </c>
      <c r="J102">
        <v>53</v>
      </c>
      <c r="K102" t="s">
        <v>21</v>
      </c>
      <c r="L102" t="str">
        <f xml:space="preserve"> IF(AND(Customer_Table[[#This Row],[Days Since Last Purchase]]&gt;21,Customer_Table[[#This Row],[Satisfaction Level]] = "Unsatisfied"), "At Risk", "Low Risk")</f>
        <v>At Risk</v>
      </c>
      <c r="M102" t="str">
        <f t="shared" si="1"/>
        <v>26-30</v>
      </c>
      <c r="N102" t="str">
        <f xml:space="preserve"> IF(Customer_Table[[#This Row],[Total Spend]] &gt;= 1000, "High", IF(Customer_Table[[#This Row],[Total Spend]]&gt;= 600, "Medium", "Low"))</f>
        <v>Medium</v>
      </c>
      <c r="O10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03" spans="1:15" x14ac:dyDescent="0.25">
      <c r="A103" s="1">
        <v>202</v>
      </c>
      <c r="B103" t="s">
        <v>11</v>
      </c>
      <c r="C103">
        <v>37</v>
      </c>
      <c r="D103" t="s">
        <v>24</v>
      </c>
      <c r="E103" t="s">
        <v>20</v>
      </c>
      <c r="F103" s="3">
        <v>420.8</v>
      </c>
      <c r="G103">
        <v>7</v>
      </c>
      <c r="H103">
        <v>3.1</v>
      </c>
      <c r="I103" s="1" t="b">
        <v>0</v>
      </c>
      <c r="J103">
        <v>21</v>
      </c>
      <c r="K103" t="s">
        <v>18</v>
      </c>
      <c r="L103" t="str">
        <f xml:space="preserve"> IF(AND(Customer_Table[[#This Row],[Days Since Last Purchase]]&gt;21,Customer_Table[[#This Row],[Satisfaction Level]] = "Unsatisfied"), "At Risk", "Low Risk")</f>
        <v>Low Risk</v>
      </c>
      <c r="M103" t="str">
        <f t="shared" si="1"/>
        <v>36-40</v>
      </c>
      <c r="N103" t="str">
        <f xml:space="preserve"> IF(Customer_Table[[#This Row],[Total Spend]] &gt;= 1000, "High", IF(Customer_Table[[#This Row],[Total Spend]]&gt;= 600, "Medium", "Low"))</f>
        <v>Low</v>
      </c>
      <c r="O10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04" spans="1:15" x14ac:dyDescent="0.25">
      <c r="A104" s="1">
        <v>203</v>
      </c>
      <c r="B104" t="s">
        <v>11</v>
      </c>
      <c r="C104">
        <v>31</v>
      </c>
      <c r="D104" t="s">
        <v>12</v>
      </c>
      <c r="E104" t="s">
        <v>13</v>
      </c>
      <c r="F104" s="3">
        <v>1130.5999999999999</v>
      </c>
      <c r="G104">
        <v>15</v>
      </c>
      <c r="H104">
        <v>4.5</v>
      </c>
      <c r="I104" s="1" t="b">
        <v>1</v>
      </c>
      <c r="J104">
        <v>26</v>
      </c>
      <c r="K104" t="s">
        <v>14</v>
      </c>
      <c r="L104" t="str">
        <f xml:space="preserve"> IF(AND(Customer_Table[[#This Row],[Days Since Last Purchase]]&gt;21,Customer_Table[[#This Row],[Satisfaction Level]] = "Unsatisfied"), "At Risk", "Low Risk")</f>
        <v>Low Risk</v>
      </c>
      <c r="M104" t="str">
        <f t="shared" si="1"/>
        <v>31-35</v>
      </c>
      <c r="N104" t="str">
        <f xml:space="preserve"> IF(Customer_Table[[#This Row],[Total Spend]] &gt;= 1000, "High", IF(Customer_Table[[#This Row],[Total Spend]]&gt;= 600, "Medium", "Low"))</f>
        <v>High</v>
      </c>
      <c r="O10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05" spans="1:15" x14ac:dyDescent="0.25">
      <c r="A105" s="1">
        <v>204</v>
      </c>
      <c r="B105" t="s">
        <v>15</v>
      </c>
      <c r="C105">
        <v>35</v>
      </c>
      <c r="D105" t="s">
        <v>16</v>
      </c>
      <c r="E105" t="s">
        <v>17</v>
      </c>
      <c r="F105" s="3">
        <v>820.9</v>
      </c>
      <c r="G105">
        <v>12</v>
      </c>
      <c r="H105">
        <v>4.3</v>
      </c>
      <c r="I105" s="1" t="b">
        <v>0</v>
      </c>
      <c r="J105">
        <v>12</v>
      </c>
      <c r="K105" t="s">
        <v>18</v>
      </c>
      <c r="L105" t="str">
        <f xml:space="preserve"> IF(AND(Customer_Table[[#This Row],[Days Since Last Purchase]]&gt;21,Customer_Table[[#This Row],[Satisfaction Level]] = "Unsatisfied"), "At Risk", "Low Risk")</f>
        <v>Low Risk</v>
      </c>
      <c r="M105" t="str">
        <f t="shared" si="1"/>
        <v>31-35</v>
      </c>
      <c r="N105" t="str">
        <f xml:space="preserve"> IF(Customer_Table[[#This Row],[Total Spend]] &gt;= 1000, "High", IF(Customer_Table[[#This Row],[Total Spend]]&gt;= 600, "Medium", "Low"))</f>
        <v>Medium</v>
      </c>
      <c r="O10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06" spans="1:15" x14ac:dyDescent="0.25">
      <c r="A106" s="1">
        <v>205</v>
      </c>
      <c r="B106" t="s">
        <v>11</v>
      </c>
      <c r="C106">
        <v>41</v>
      </c>
      <c r="D106" t="s">
        <v>19</v>
      </c>
      <c r="E106" t="s">
        <v>20</v>
      </c>
      <c r="F106" s="3">
        <v>480.25</v>
      </c>
      <c r="G106">
        <v>9</v>
      </c>
      <c r="H106">
        <v>3.6</v>
      </c>
      <c r="I106" s="1" t="b">
        <v>1</v>
      </c>
      <c r="J106">
        <v>38</v>
      </c>
      <c r="K106" t="s">
        <v>21</v>
      </c>
      <c r="L106" t="str">
        <f xml:space="preserve"> IF(AND(Customer_Table[[#This Row],[Days Since Last Purchase]]&gt;21,Customer_Table[[#This Row],[Satisfaction Level]] = "Unsatisfied"), "At Risk", "Low Risk")</f>
        <v>At Risk</v>
      </c>
      <c r="M106" t="str">
        <f t="shared" si="1"/>
        <v>41-43</v>
      </c>
      <c r="N106" t="str">
        <f xml:space="preserve"> IF(Customer_Table[[#This Row],[Total Spend]] &gt;= 1000, "High", IF(Customer_Table[[#This Row],[Total Spend]]&gt;= 600, "Medium", "Low"))</f>
        <v>Low</v>
      </c>
      <c r="O10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07" spans="1:15" x14ac:dyDescent="0.25">
      <c r="A107" s="1">
        <v>206</v>
      </c>
      <c r="B107" t="s">
        <v>15</v>
      </c>
      <c r="C107">
        <v>28</v>
      </c>
      <c r="D107" t="s">
        <v>22</v>
      </c>
      <c r="E107" t="s">
        <v>13</v>
      </c>
      <c r="F107" s="3">
        <v>1490.1</v>
      </c>
      <c r="G107">
        <v>21</v>
      </c>
      <c r="H107">
        <v>4.9000000000000004</v>
      </c>
      <c r="I107" s="1" t="b">
        <v>0</v>
      </c>
      <c r="J107">
        <v>9</v>
      </c>
      <c r="K107" t="s">
        <v>14</v>
      </c>
      <c r="L107" t="str">
        <f xml:space="preserve"> IF(AND(Customer_Table[[#This Row],[Days Since Last Purchase]]&gt;21,Customer_Table[[#This Row],[Satisfaction Level]] = "Unsatisfied"), "At Risk", "Low Risk")</f>
        <v>Low Risk</v>
      </c>
      <c r="M107" t="str">
        <f t="shared" si="1"/>
        <v>26-30</v>
      </c>
      <c r="N107" t="str">
        <f xml:space="preserve"> IF(Customer_Table[[#This Row],[Total Spend]] &gt;= 1000, "High", IF(Customer_Table[[#This Row],[Total Spend]]&gt;= 600, "Medium", "Low"))</f>
        <v>High</v>
      </c>
      <c r="O10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08" spans="1:15" x14ac:dyDescent="0.25">
      <c r="A108" s="1">
        <v>207</v>
      </c>
      <c r="B108" t="s">
        <v>15</v>
      </c>
      <c r="C108">
        <v>32</v>
      </c>
      <c r="D108" t="s">
        <v>23</v>
      </c>
      <c r="E108" t="s">
        <v>17</v>
      </c>
      <c r="F108" s="3">
        <v>680.3</v>
      </c>
      <c r="G108">
        <v>10</v>
      </c>
      <c r="H108">
        <v>3.8</v>
      </c>
      <c r="I108" s="1" t="b">
        <v>1</v>
      </c>
      <c r="J108">
        <v>32</v>
      </c>
      <c r="K108" t="s">
        <v>21</v>
      </c>
      <c r="L108" t="str">
        <f xml:space="preserve"> IF(AND(Customer_Table[[#This Row],[Days Since Last Purchase]]&gt;21,Customer_Table[[#This Row],[Satisfaction Level]] = "Unsatisfied"), "At Risk", "Low Risk")</f>
        <v>At Risk</v>
      </c>
      <c r="M108" t="str">
        <f t="shared" si="1"/>
        <v>31-35</v>
      </c>
      <c r="N108" t="str">
        <f xml:space="preserve"> IF(Customer_Table[[#This Row],[Total Spend]] &gt;= 1000, "High", IF(Customer_Table[[#This Row],[Total Spend]]&gt;= 600, "Medium", "Low"))</f>
        <v>Medium</v>
      </c>
      <c r="O10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09" spans="1:15" x14ac:dyDescent="0.25">
      <c r="A109" s="1">
        <v>208</v>
      </c>
      <c r="B109" t="s">
        <v>11</v>
      </c>
      <c r="C109">
        <v>36</v>
      </c>
      <c r="D109" t="s">
        <v>24</v>
      </c>
      <c r="E109" t="s">
        <v>20</v>
      </c>
      <c r="F109" s="3">
        <v>470.5</v>
      </c>
      <c r="G109">
        <v>8</v>
      </c>
      <c r="H109">
        <v>3</v>
      </c>
      <c r="I109" s="1" t="b">
        <v>0</v>
      </c>
      <c r="J109">
        <v>18</v>
      </c>
      <c r="K109" t="s">
        <v>18</v>
      </c>
      <c r="L109" t="str">
        <f xml:space="preserve"> IF(AND(Customer_Table[[#This Row],[Days Since Last Purchase]]&gt;21,Customer_Table[[#This Row],[Satisfaction Level]] = "Unsatisfied"), "At Risk", "Low Risk")</f>
        <v>Low Risk</v>
      </c>
      <c r="M109" t="str">
        <f t="shared" si="1"/>
        <v>36-40</v>
      </c>
      <c r="N109" t="str">
        <f xml:space="preserve"> IF(Customer_Table[[#This Row],[Total Spend]] &gt;= 1000, "High", IF(Customer_Table[[#This Row],[Total Spend]]&gt;= 600, "Medium", "Low"))</f>
        <v>Low</v>
      </c>
      <c r="O10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10" spans="1:15" x14ac:dyDescent="0.25">
      <c r="A110" s="1">
        <v>209</v>
      </c>
      <c r="B110" t="s">
        <v>11</v>
      </c>
      <c r="C110">
        <v>30</v>
      </c>
      <c r="D110" t="s">
        <v>12</v>
      </c>
      <c r="E110" t="s">
        <v>13</v>
      </c>
      <c r="F110" s="3">
        <v>1180.8</v>
      </c>
      <c r="G110">
        <v>16</v>
      </c>
      <c r="H110">
        <v>4.7</v>
      </c>
      <c r="I110" s="1" t="b">
        <v>1</v>
      </c>
      <c r="J110">
        <v>19</v>
      </c>
      <c r="K110" t="s">
        <v>14</v>
      </c>
      <c r="L110" t="str">
        <f xml:space="preserve"> IF(AND(Customer_Table[[#This Row],[Days Since Last Purchase]]&gt;21,Customer_Table[[#This Row],[Satisfaction Level]] = "Unsatisfied"), "At Risk", "Low Risk")</f>
        <v>Low Risk</v>
      </c>
      <c r="M110" t="str">
        <f t="shared" si="1"/>
        <v>26-30</v>
      </c>
      <c r="N110" t="str">
        <f xml:space="preserve"> IF(Customer_Table[[#This Row],[Total Spend]] &gt;= 1000, "High", IF(Customer_Table[[#This Row],[Total Spend]]&gt;= 600, "Medium", "Low"))</f>
        <v>High</v>
      </c>
      <c r="O11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11" spans="1:15" x14ac:dyDescent="0.25">
      <c r="A111" s="1">
        <v>210</v>
      </c>
      <c r="B111" t="s">
        <v>15</v>
      </c>
      <c r="C111">
        <v>34</v>
      </c>
      <c r="D111" t="s">
        <v>16</v>
      </c>
      <c r="E111" t="s">
        <v>17</v>
      </c>
      <c r="F111" s="3">
        <v>790.2</v>
      </c>
      <c r="G111">
        <v>11</v>
      </c>
      <c r="H111">
        <v>4</v>
      </c>
      <c r="I111" s="1" t="b">
        <v>0</v>
      </c>
      <c r="J111">
        <v>15</v>
      </c>
      <c r="K111" t="s">
        <v>18</v>
      </c>
      <c r="L111" t="str">
        <f xml:space="preserve"> IF(AND(Customer_Table[[#This Row],[Days Since Last Purchase]]&gt;21,Customer_Table[[#This Row],[Satisfaction Level]] = "Unsatisfied"), "At Risk", "Low Risk")</f>
        <v>Low Risk</v>
      </c>
      <c r="M111" t="str">
        <f t="shared" si="1"/>
        <v>31-35</v>
      </c>
      <c r="N111" t="str">
        <f xml:space="preserve"> IF(Customer_Table[[#This Row],[Total Spend]] &gt;= 1000, "High", IF(Customer_Table[[#This Row],[Total Spend]]&gt;= 600, "Medium", "Low"))</f>
        <v>Medium</v>
      </c>
      <c r="O11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12" spans="1:15" x14ac:dyDescent="0.25">
      <c r="A112" s="1">
        <v>211</v>
      </c>
      <c r="B112" t="s">
        <v>11</v>
      </c>
      <c r="C112">
        <v>43</v>
      </c>
      <c r="D112" t="s">
        <v>19</v>
      </c>
      <c r="E112" t="s">
        <v>20</v>
      </c>
      <c r="F112" s="3">
        <v>505.75</v>
      </c>
      <c r="G112">
        <v>10</v>
      </c>
      <c r="H112">
        <v>3.3</v>
      </c>
      <c r="I112" s="1" t="b">
        <v>1</v>
      </c>
      <c r="J112">
        <v>39</v>
      </c>
      <c r="K112" t="s">
        <v>21</v>
      </c>
      <c r="L112" t="str">
        <f xml:space="preserve"> IF(AND(Customer_Table[[#This Row],[Days Since Last Purchase]]&gt;21,Customer_Table[[#This Row],[Satisfaction Level]] = "Unsatisfied"), "At Risk", "Low Risk")</f>
        <v>At Risk</v>
      </c>
      <c r="M112" t="str">
        <f t="shared" si="1"/>
        <v>41-43</v>
      </c>
      <c r="N112" t="str">
        <f xml:space="preserve"> IF(Customer_Table[[#This Row],[Total Spend]] &gt;= 1000, "High", IF(Customer_Table[[#This Row],[Total Spend]]&gt;= 600, "Medium", "Low"))</f>
        <v>Low</v>
      </c>
      <c r="O11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13" spans="1:15" x14ac:dyDescent="0.25">
      <c r="A113" s="1">
        <v>212</v>
      </c>
      <c r="B113" t="s">
        <v>15</v>
      </c>
      <c r="C113">
        <v>30</v>
      </c>
      <c r="D113" t="s">
        <v>22</v>
      </c>
      <c r="E113" t="s">
        <v>13</v>
      </c>
      <c r="F113" s="3">
        <v>1470.5</v>
      </c>
      <c r="G113">
        <v>20</v>
      </c>
      <c r="H113">
        <v>4.8</v>
      </c>
      <c r="I113" s="1" t="b">
        <v>0</v>
      </c>
      <c r="J113">
        <v>13</v>
      </c>
      <c r="K113" t="s">
        <v>14</v>
      </c>
      <c r="L113" t="str">
        <f xml:space="preserve"> IF(AND(Customer_Table[[#This Row],[Days Since Last Purchase]]&gt;21,Customer_Table[[#This Row],[Satisfaction Level]] = "Unsatisfied"), "At Risk", "Low Risk")</f>
        <v>Low Risk</v>
      </c>
      <c r="M113" t="str">
        <f t="shared" si="1"/>
        <v>26-30</v>
      </c>
      <c r="N113" t="str">
        <f xml:space="preserve"> IF(Customer_Table[[#This Row],[Total Spend]] &gt;= 1000, "High", IF(Customer_Table[[#This Row],[Total Spend]]&gt;= 600, "Medium", "Low"))</f>
        <v>High</v>
      </c>
      <c r="O11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14" spans="1:15" x14ac:dyDescent="0.25">
      <c r="A114" s="1">
        <v>213</v>
      </c>
      <c r="B114" t="s">
        <v>15</v>
      </c>
      <c r="C114">
        <v>27</v>
      </c>
      <c r="D114" t="s">
        <v>23</v>
      </c>
      <c r="E114" t="s">
        <v>17</v>
      </c>
      <c r="F114" s="3">
        <v>710.4</v>
      </c>
      <c r="G114">
        <v>13</v>
      </c>
      <c r="H114">
        <v>4.0999999999999996</v>
      </c>
      <c r="I114" s="1" t="b">
        <v>1</v>
      </c>
      <c r="J114">
        <v>54</v>
      </c>
      <c r="K114" t="s">
        <v>21</v>
      </c>
      <c r="L114" t="str">
        <f xml:space="preserve"> IF(AND(Customer_Table[[#This Row],[Days Since Last Purchase]]&gt;21,Customer_Table[[#This Row],[Satisfaction Level]] = "Unsatisfied"), "At Risk", "Low Risk")</f>
        <v>At Risk</v>
      </c>
      <c r="M114" t="str">
        <f t="shared" si="1"/>
        <v>26-30</v>
      </c>
      <c r="N114" t="str">
        <f xml:space="preserve"> IF(Customer_Table[[#This Row],[Total Spend]] &gt;= 1000, "High", IF(Customer_Table[[#This Row],[Total Spend]]&gt;= 600, "Medium", "Low"))</f>
        <v>Medium</v>
      </c>
      <c r="O11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15" spans="1:15" x14ac:dyDescent="0.25">
      <c r="A115" s="1">
        <v>214</v>
      </c>
      <c r="B115" t="s">
        <v>11</v>
      </c>
      <c r="C115">
        <v>37</v>
      </c>
      <c r="D115" t="s">
        <v>24</v>
      </c>
      <c r="E115" t="s">
        <v>20</v>
      </c>
      <c r="F115" s="3">
        <v>430.8</v>
      </c>
      <c r="G115">
        <v>7</v>
      </c>
      <c r="H115">
        <v>3.4</v>
      </c>
      <c r="I115" s="1" t="b">
        <v>0</v>
      </c>
      <c r="J115">
        <v>23</v>
      </c>
      <c r="K115" t="s">
        <v>18</v>
      </c>
      <c r="L115" t="str">
        <f xml:space="preserve"> IF(AND(Customer_Table[[#This Row],[Days Since Last Purchase]]&gt;21,Customer_Table[[#This Row],[Satisfaction Level]] = "Unsatisfied"), "At Risk", "Low Risk")</f>
        <v>Low Risk</v>
      </c>
      <c r="M115" t="str">
        <f t="shared" si="1"/>
        <v>36-40</v>
      </c>
      <c r="N115" t="str">
        <f xml:space="preserve"> IF(Customer_Table[[#This Row],[Total Spend]] &gt;= 1000, "High", IF(Customer_Table[[#This Row],[Total Spend]]&gt;= 600, "Medium", "Low"))</f>
        <v>Low</v>
      </c>
      <c r="O11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16" spans="1:15" x14ac:dyDescent="0.25">
      <c r="A116" s="1">
        <v>215</v>
      </c>
      <c r="B116" t="s">
        <v>11</v>
      </c>
      <c r="C116">
        <v>31</v>
      </c>
      <c r="D116" t="s">
        <v>12</v>
      </c>
      <c r="E116" t="s">
        <v>13</v>
      </c>
      <c r="F116" s="3">
        <v>1140.5999999999999</v>
      </c>
      <c r="G116">
        <v>15</v>
      </c>
      <c r="H116">
        <v>4.5999999999999996</v>
      </c>
      <c r="I116" s="1" t="b">
        <v>1</v>
      </c>
      <c r="J116">
        <v>27</v>
      </c>
      <c r="K116" t="s">
        <v>14</v>
      </c>
      <c r="L116" t="str">
        <f xml:space="preserve"> IF(AND(Customer_Table[[#This Row],[Days Since Last Purchase]]&gt;21,Customer_Table[[#This Row],[Satisfaction Level]] = "Unsatisfied"), "At Risk", "Low Risk")</f>
        <v>Low Risk</v>
      </c>
      <c r="M116" t="str">
        <f t="shared" si="1"/>
        <v>31-35</v>
      </c>
      <c r="N116" t="str">
        <f xml:space="preserve"> IF(Customer_Table[[#This Row],[Total Spend]] &gt;= 1000, "High", IF(Customer_Table[[#This Row],[Total Spend]]&gt;= 600, "Medium", "Low"))</f>
        <v>High</v>
      </c>
      <c r="O11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17" spans="1:15" x14ac:dyDescent="0.25">
      <c r="A117" s="1">
        <v>216</v>
      </c>
      <c r="B117" t="s">
        <v>15</v>
      </c>
      <c r="C117">
        <v>35</v>
      </c>
      <c r="D117" t="s">
        <v>16</v>
      </c>
      <c r="E117" t="s">
        <v>17</v>
      </c>
      <c r="F117" s="3">
        <v>810.9</v>
      </c>
      <c r="G117">
        <v>12</v>
      </c>
      <c r="H117">
        <v>4.3</v>
      </c>
      <c r="I117" s="1" t="b">
        <v>0</v>
      </c>
      <c r="J117">
        <v>13</v>
      </c>
      <c r="K117" t="s">
        <v>18</v>
      </c>
      <c r="L117" t="str">
        <f xml:space="preserve"> IF(AND(Customer_Table[[#This Row],[Days Since Last Purchase]]&gt;21,Customer_Table[[#This Row],[Satisfaction Level]] = "Unsatisfied"), "At Risk", "Low Risk")</f>
        <v>Low Risk</v>
      </c>
      <c r="M117" t="str">
        <f t="shared" si="1"/>
        <v>31-35</v>
      </c>
      <c r="N117" t="str">
        <f xml:space="preserve"> IF(Customer_Table[[#This Row],[Total Spend]] &gt;= 1000, "High", IF(Customer_Table[[#This Row],[Total Spend]]&gt;= 600, "Medium", "Low"))</f>
        <v>Medium</v>
      </c>
      <c r="O11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18" spans="1:15" x14ac:dyDescent="0.25">
      <c r="A118" s="1">
        <v>217</v>
      </c>
      <c r="B118" t="s">
        <v>11</v>
      </c>
      <c r="C118">
        <v>41</v>
      </c>
      <c r="D118" t="s">
        <v>19</v>
      </c>
      <c r="E118" t="s">
        <v>20</v>
      </c>
      <c r="F118" s="3">
        <v>485.25</v>
      </c>
      <c r="G118">
        <v>9</v>
      </c>
      <c r="H118">
        <v>3.6</v>
      </c>
      <c r="I118" s="1" t="b">
        <v>1</v>
      </c>
      <c r="J118">
        <v>39</v>
      </c>
      <c r="K118" t="s">
        <v>21</v>
      </c>
      <c r="L118" t="str">
        <f xml:space="preserve"> IF(AND(Customer_Table[[#This Row],[Days Since Last Purchase]]&gt;21,Customer_Table[[#This Row],[Satisfaction Level]] = "Unsatisfied"), "At Risk", "Low Risk")</f>
        <v>At Risk</v>
      </c>
      <c r="M118" t="str">
        <f t="shared" si="1"/>
        <v>41-43</v>
      </c>
      <c r="N118" t="str">
        <f xml:space="preserve"> IF(Customer_Table[[#This Row],[Total Spend]] &gt;= 1000, "High", IF(Customer_Table[[#This Row],[Total Spend]]&gt;= 600, "Medium", "Low"))</f>
        <v>Low</v>
      </c>
      <c r="O11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19" spans="1:15" x14ac:dyDescent="0.25">
      <c r="A119" s="1">
        <v>218</v>
      </c>
      <c r="B119" t="s">
        <v>15</v>
      </c>
      <c r="C119">
        <v>28</v>
      </c>
      <c r="D119" t="s">
        <v>22</v>
      </c>
      <c r="E119" t="s">
        <v>13</v>
      </c>
      <c r="F119" s="3">
        <v>1500.1</v>
      </c>
      <c r="G119">
        <v>21</v>
      </c>
      <c r="H119">
        <v>4.9000000000000004</v>
      </c>
      <c r="I119" s="1" t="b">
        <v>0</v>
      </c>
      <c r="J119">
        <v>10</v>
      </c>
      <c r="K119" t="s">
        <v>14</v>
      </c>
      <c r="L119" t="str">
        <f xml:space="preserve"> IF(AND(Customer_Table[[#This Row],[Days Since Last Purchase]]&gt;21,Customer_Table[[#This Row],[Satisfaction Level]] = "Unsatisfied"), "At Risk", "Low Risk")</f>
        <v>Low Risk</v>
      </c>
      <c r="M119" t="str">
        <f t="shared" si="1"/>
        <v>26-30</v>
      </c>
      <c r="N119" t="str">
        <f xml:space="preserve"> IF(Customer_Table[[#This Row],[Total Spend]] &gt;= 1000, "High", IF(Customer_Table[[#This Row],[Total Spend]]&gt;= 600, "Medium", "Low"))</f>
        <v>High</v>
      </c>
      <c r="O11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20" spans="1:15" x14ac:dyDescent="0.25">
      <c r="A120" s="1">
        <v>219</v>
      </c>
      <c r="B120" t="s">
        <v>15</v>
      </c>
      <c r="C120">
        <v>32</v>
      </c>
      <c r="D120" t="s">
        <v>23</v>
      </c>
      <c r="E120" t="s">
        <v>17</v>
      </c>
      <c r="F120" s="3">
        <v>670.3</v>
      </c>
      <c r="G120">
        <v>10</v>
      </c>
      <c r="H120">
        <v>3.8</v>
      </c>
      <c r="I120" s="1" t="b">
        <v>1</v>
      </c>
      <c r="J120">
        <v>33</v>
      </c>
      <c r="K120" t="s">
        <v>21</v>
      </c>
      <c r="L120" t="str">
        <f xml:space="preserve"> IF(AND(Customer_Table[[#This Row],[Days Since Last Purchase]]&gt;21,Customer_Table[[#This Row],[Satisfaction Level]] = "Unsatisfied"), "At Risk", "Low Risk")</f>
        <v>At Risk</v>
      </c>
      <c r="M120" t="str">
        <f t="shared" si="1"/>
        <v>31-35</v>
      </c>
      <c r="N120" t="str">
        <f xml:space="preserve"> IF(Customer_Table[[#This Row],[Total Spend]] &gt;= 1000, "High", IF(Customer_Table[[#This Row],[Total Spend]]&gt;= 600, "Medium", "Low"))</f>
        <v>Medium</v>
      </c>
      <c r="O12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21" spans="1:15" x14ac:dyDescent="0.25">
      <c r="A121" s="1">
        <v>220</v>
      </c>
      <c r="B121" t="s">
        <v>11</v>
      </c>
      <c r="C121">
        <v>36</v>
      </c>
      <c r="D121" t="s">
        <v>24</v>
      </c>
      <c r="E121" t="s">
        <v>20</v>
      </c>
      <c r="F121" s="3">
        <v>460.5</v>
      </c>
      <c r="G121">
        <v>8</v>
      </c>
      <c r="H121">
        <v>3.1</v>
      </c>
      <c r="I121" s="1" t="b">
        <v>0</v>
      </c>
      <c r="J121">
        <v>19</v>
      </c>
      <c r="K121" t="s">
        <v>18</v>
      </c>
      <c r="L121" t="str">
        <f xml:space="preserve"> IF(AND(Customer_Table[[#This Row],[Days Since Last Purchase]]&gt;21,Customer_Table[[#This Row],[Satisfaction Level]] = "Unsatisfied"), "At Risk", "Low Risk")</f>
        <v>Low Risk</v>
      </c>
      <c r="M121" t="str">
        <f t="shared" si="1"/>
        <v>36-40</v>
      </c>
      <c r="N121" t="str">
        <f xml:space="preserve"> IF(Customer_Table[[#This Row],[Total Spend]] &gt;= 1000, "High", IF(Customer_Table[[#This Row],[Total Spend]]&gt;= 600, "Medium", "Low"))</f>
        <v>Low</v>
      </c>
      <c r="O12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22" spans="1:15" x14ac:dyDescent="0.25">
      <c r="A122" s="1">
        <v>221</v>
      </c>
      <c r="B122" t="s">
        <v>11</v>
      </c>
      <c r="C122">
        <v>30</v>
      </c>
      <c r="D122" t="s">
        <v>12</v>
      </c>
      <c r="E122" t="s">
        <v>13</v>
      </c>
      <c r="F122" s="3">
        <v>1190.8</v>
      </c>
      <c r="G122">
        <v>16</v>
      </c>
      <c r="H122">
        <v>4.5</v>
      </c>
      <c r="I122" s="1" t="b">
        <v>1</v>
      </c>
      <c r="J122">
        <v>20</v>
      </c>
      <c r="K122" t="s">
        <v>14</v>
      </c>
      <c r="L122" t="str">
        <f xml:space="preserve"> IF(AND(Customer_Table[[#This Row],[Days Since Last Purchase]]&gt;21,Customer_Table[[#This Row],[Satisfaction Level]] = "Unsatisfied"), "At Risk", "Low Risk")</f>
        <v>Low Risk</v>
      </c>
      <c r="M122" t="str">
        <f t="shared" si="1"/>
        <v>26-30</v>
      </c>
      <c r="N122" t="str">
        <f xml:space="preserve"> IF(Customer_Table[[#This Row],[Total Spend]] &gt;= 1000, "High", IF(Customer_Table[[#This Row],[Total Spend]]&gt;= 600, "Medium", "Low"))</f>
        <v>High</v>
      </c>
      <c r="O12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23" spans="1:15" x14ac:dyDescent="0.25">
      <c r="A123" s="1">
        <v>222</v>
      </c>
      <c r="B123" t="s">
        <v>15</v>
      </c>
      <c r="C123">
        <v>33</v>
      </c>
      <c r="D123" t="s">
        <v>16</v>
      </c>
      <c r="E123" t="s">
        <v>17</v>
      </c>
      <c r="F123" s="3">
        <v>830.75</v>
      </c>
      <c r="G123">
        <v>13</v>
      </c>
      <c r="H123">
        <v>4.2</v>
      </c>
      <c r="I123" s="1" t="b">
        <v>0</v>
      </c>
      <c r="J123">
        <v>14</v>
      </c>
      <c r="K123" t="s">
        <v>14</v>
      </c>
      <c r="L123" t="str">
        <f xml:space="preserve"> IF(AND(Customer_Table[[#This Row],[Days Since Last Purchase]]&gt;21,Customer_Table[[#This Row],[Satisfaction Level]] = "Unsatisfied"), "At Risk", "Low Risk")</f>
        <v>Low Risk</v>
      </c>
      <c r="M123" t="str">
        <f t="shared" si="1"/>
        <v>31-35</v>
      </c>
      <c r="N123" t="str">
        <f xml:space="preserve"> IF(Customer_Table[[#This Row],[Total Spend]] &gt;= 1000, "High", IF(Customer_Table[[#This Row],[Total Spend]]&gt;= 600, "Medium", "Low"))</f>
        <v>Medium</v>
      </c>
      <c r="O12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24" spans="1:15" x14ac:dyDescent="0.25">
      <c r="A124" s="1">
        <v>223</v>
      </c>
      <c r="B124" t="s">
        <v>11</v>
      </c>
      <c r="C124">
        <v>42</v>
      </c>
      <c r="D124" t="s">
        <v>19</v>
      </c>
      <c r="E124" t="s">
        <v>20</v>
      </c>
      <c r="F124" s="3">
        <v>520.4</v>
      </c>
      <c r="G124">
        <v>9</v>
      </c>
      <c r="H124">
        <v>3.5</v>
      </c>
      <c r="I124" s="1" t="b">
        <v>1</v>
      </c>
      <c r="J124">
        <v>37</v>
      </c>
      <c r="K124" t="s">
        <v>21</v>
      </c>
      <c r="L124" t="str">
        <f xml:space="preserve"> IF(AND(Customer_Table[[#This Row],[Days Since Last Purchase]]&gt;21,Customer_Table[[#This Row],[Satisfaction Level]] = "Unsatisfied"), "At Risk", "Low Risk")</f>
        <v>At Risk</v>
      </c>
      <c r="M124" t="str">
        <f t="shared" si="1"/>
        <v>41-43</v>
      </c>
      <c r="N124" t="str">
        <f xml:space="preserve"> IF(Customer_Table[[#This Row],[Total Spend]] &gt;= 1000, "High", IF(Customer_Table[[#This Row],[Total Spend]]&gt;= 600, "Medium", "Low"))</f>
        <v>Low</v>
      </c>
      <c r="O12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25" spans="1:15" x14ac:dyDescent="0.25">
      <c r="A125" s="1">
        <v>224</v>
      </c>
      <c r="B125" t="s">
        <v>15</v>
      </c>
      <c r="C125">
        <v>29</v>
      </c>
      <c r="D125" t="s">
        <v>22</v>
      </c>
      <c r="E125" t="s">
        <v>13</v>
      </c>
      <c r="F125" s="3">
        <v>1370.2</v>
      </c>
      <c r="G125">
        <v>18</v>
      </c>
      <c r="H125">
        <v>4.7</v>
      </c>
      <c r="I125" s="1" t="b">
        <v>0</v>
      </c>
      <c r="J125">
        <v>10</v>
      </c>
      <c r="K125" t="s">
        <v>14</v>
      </c>
      <c r="L125" t="str">
        <f xml:space="preserve"> IF(AND(Customer_Table[[#This Row],[Days Since Last Purchase]]&gt;21,Customer_Table[[#This Row],[Satisfaction Level]] = "Unsatisfied"), "At Risk", "Low Risk")</f>
        <v>Low Risk</v>
      </c>
      <c r="M125" t="str">
        <f t="shared" si="1"/>
        <v>26-30</v>
      </c>
      <c r="N125" t="str">
        <f xml:space="preserve"> IF(Customer_Table[[#This Row],[Total Spend]] &gt;= 1000, "High", IF(Customer_Table[[#This Row],[Total Spend]]&gt;= 600, "Medium", "Low"))</f>
        <v>High</v>
      </c>
      <c r="O12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26" spans="1:15" x14ac:dyDescent="0.25">
      <c r="A126" s="1">
        <v>225</v>
      </c>
      <c r="B126" t="s">
        <v>15</v>
      </c>
      <c r="C126">
        <v>26</v>
      </c>
      <c r="D126" t="s">
        <v>23</v>
      </c>
      <c r="E126" t="s">
        <v>17</v>
      </c>
      <c r="F126" s="3">
        <v>690.6</v>
      </c>
      <c r="G126">
        <v>12</v>
      </c>
      <c r="H126">
        <v>3.9</v>
      </c>
      <c r="I126" s="1" t="b">
        <v>1</v>
      </c>
      <c r="J126">
        <v>47</v>
      </c>
      <c r="K126" t="s">
        <v>21</v>
      </c>
      <c r="L126" t="str">
        <f xml:space="preserve"> IF(AND(Customer_Table[[#This Row],[Days Since Last Purchase]]&gt;21,Customer_Table[[#This Row],[Satisfaction Level]] = "Unsatisfied"), "At Risk", "Low Risk")</f>
        <v>At Risk</v>
      </c>
      <c r="M126" t="str">
        <f t="shared" si="1"/>
        <v>26-30</v>
      </c>
      <c r="N126" t="str">
        <f xml:space="preserve"> IF(Customer_Table[[#This Row],[Total Spend]] &gt;= 1000, "High", IF(Customer_Table[[#This Row],[Total Spend]]&gt;= 600, "Medium", "Low"))</f>
        <v>Medium</v>
      </c>
      <c r="O12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127" spans="1:15" x14ac:dyDescent="0.25">
      <c r="A127" s="1">
        <v>226</v>
      </c>
      <c r="B127" t="s">
        <v>11</v>
      </c>
      <c r="C127">
        <v>38</v>
      </c>
      <c r="D127" t="s">
        <v>24</v>
      </c>
      <c r="E127" t="s">
        <v>20</v>
      </c>
      <c r="F127" s="3">
        <v>440.9</v>
      </c>
      <c r="G127">
        <v>8</v>
      </c>
      <c r="H127">
        <v>3.2</v>
      </c>
      <c r="I127" s="1" t="b">
        <v>0</v>
      </c>
      <c r="J127">
        <v>24</v>
      </c>
      <c r="K127" t="s">
        <v>18</v>
      </c>
      <c r="L127" t="str">
        <f xml:space="preserve"> IF(AND(Customer_Table[[#This Row],[Days Since Last Purchase]]&gt;21,Customer_Table[[#This Row],[Satisfaction Level]] = "Unsatisfied"), "At Risk", "Low Risk")</f>
        <v>Low Risk</v>
      </c>
      <c r="M127" t="str">
        <f t="shared" si="1"/>
        <v>36-40</v>
      </c>
      <c r="N127" t="str">
        <f xml:space="preserve"> IF(Customer_Table[[#This Row],[Total Spend]] &gt;= 1000, "High", IF(Customer_Table[[#This Row],[Total Spend]]&gt;= 600, "Medium", "Low"))</f>
        <v>Low</v>
      </c>
      <c r="O12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28" spans="1:15" x14ac:dyDescent="0.25">
      <c r="A128" s="1">
        <v>227</v>
      </c>
      <c r="B128" t="s">
        <v>11</v>
      </c>
      <c r="C128">
        <v>32</v>
      </c>
      <c r="D128" t="s">
        <v>12</v>
      </c>
      <c r="E128" t="s">
        <v>13</v>
      </c>
      <c r="F128" s="3">
        <v>1160.3</v>
      </c>
      <c r="G128">
        <v>14</v>
      </c>
      <c r="H128">
        <v>4.4000000000000004</v>
      </c>
      <c r="I128" s="1" t="b">
        <v>1</v>
      </c>
      <c r="J128">
        <v>22</v>
      </c>
      <c r="K128" t="s">
        <v>14</v>
      </c>
      <c r="L128" t="str">
        <f xml:space="preserve"> IF(AND(Customer_Table[[#This Row],[Days Since Last Purchase]]&gt;21,Customer_Table[[#This Row],[Satisfaction Level]] = "Unsatisfied"), "At Risk", "Low Risk")</f>
        <v>Low Risk</v>
      </c>
      <c r="M128" t="str">
        <f t="shared" si="1"/>
        <v>31-35</v>
      </c>
      <c r="N128" t="str">
        <f xml:space="preserve"> IF(Customer_Table[[#This Row],[Total Spend]] &gt;= 1000, "High", IF(Customer_Table[[#This Row],[Total Spend]]&gt;= 600, "Medium", "Low"))</f>
        <v>High</v>
      </c>
      <c r="O12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29" spans="1:15" x14ac:dyDescent="0.25">
      <c r="A129" s="1">
        <v>228</v>
      </c>
      <c r="B129" t="s">
        <v>15</v>
      </c>
      <c r="C129">
        <v>34</v>
      </c>
      <c r="D129" t="s">
        <v>16</v>
      </c>
      <c r="E129" t="s">
        <v>17</v>
      </c>
      <c r="F129" s="3">
        <v>800.2</v>
      </c>
      <c r="G129">
        <v>11</v>
      </c>
      <c r="H129">
        <v>4.0999999999999996</v>
      </c>
      <c r="I129" s="1" t="b">
        <v>0</v>
      </c>
      <c r="J129">
        <v>17</v>
      </c>
      <c r="K129" t="s">
        <v>18</v>
      </c>
      <c r="L129" t="str">
        <f xml:space="preserve"> IF(AND(Customer_Table[[#This Row],[Days Since Last Purchase]]&gt;21,Customer_Table[[#This Row],[Satisfaction Level]] = "Unsatisfied"), "At Risk", "Low Risk")</f>
        <v>Low Risk</v>
      </c>
      <c r="M129" t="str">
        <f t="shared" si="1"/>
        <v>31-35</v>
      </c>
      <c r="N129" t="str">
        <f xml:space="preserve"> IF(Customer_Table[[#This Row],[Total Spend]] &gt;= 1000, "High", IF(Customer_Table[[#This Row],[Total Spend]]&gt;= 600, "Medium", "Low"))</f>
        <v>Medium</v>
      </c>
      <c r="O12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30" spans="1:15" x14ac:dyDescent="0.25">
      <c r="A130" s="1">
        <v>229</v>
      </c>
      <c r="B130" t="s">
        <v>11</v>
      </c>
      <c r="C130">
        <v>43</v>
      </c>
      <c r="D130" t="s">
        <v>19</v>
      </c>
      <c r="E130" t="s">
        <v>20</v>
      </c>
      <c r="F130" s="3">
        <v>500.75</v>
      </c>
      <c r="G130">
        <v>10</v>
      </c>
      <c r="H130">
        <v>3.3</v>
      </c>
      <c r="I130" s="1" t="b">
        <v>1</v>
      </c>
      <c r="J130">
        <v>40</v>
      </c>
      <c r="K130" t="s">
        <v>21</v>
      </c>
      <c r="L130" t="str">
        <f xml:space="preserve"> IF(AND(Customer_Table[[#This Row],[Days Since Last Purchase]]&gt;21,Customer_Table[[#This Row],[Satisfaction Level]] = "Unsatisfied"), "At Risk", "Low Risk")</f>
        <v>At Risk</v>
      </c>
      <c r="M130" t="str">
        <f t="shared" ref="M130:M193" si="2" xml:space="preserve"> IF(C130&lt;=30, "26-30", IF(C130&lt;=35, "31-35", IF(C130&lt;=40, "36-40", "41-43")))</f>
        <v>41-43</v>
      </c>
      <c r="N130" t="str">
        <f xml:space="preserve"> IF(Customer_Table[[#This Row],[Total Spend]] &gt;= 1000, "High", IF(Customer_Table[[#This Row],[Total Spend]]&gt;= 600, "Medium", "Low"))</f>
        <v>Low</v>
      </c>
      <c r="O13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31" spans="1:15" x14ac:dyDescent="0.25">
      <c r="A131" s="1">
        <v>230</v>
      </c>
      <c r="B131" t="s">
        <v>15</v>
      </c>
      <c r="C131">
        <v>30</v>
      </c>
      <c r="D131" t="s">
        <v>22</v>
      </c>
      <c r="E131" t="s">
        <v>13</v>
      </c>
      <c r="F131" s="3">
        <v>1460.5</v>
      </c>
      <c r="G131">
        <v>20</v>
      </c>
      <c r="H131">
        <v>4.8</v>
      </c>
      <c r="I131" s="1" t="b">
        <v>0</v>
      </c>
      <c r="J131">
        <v>12</v>
      </c>
      <c r="K131" t="s">
        <v>14</v>
      </c>
      <c r="L131" t="str">
        <f xml:space="preserve"> IF(AND(Customer_Table[[#This Row],[Days Since Last Purchase]]&gt;21,Customer_Table[[#This Row],[Satisfaction Level]] = "Unsatisfied"), "At Risk", "Low Risk")</f>
        <v>Low Risk</v>
      </c>
      <c r="M131" t="str">
        <f t="shared" si="2"/>
        <v>26-30</v>
      </c>
      <c r="N131" t="str">
        <f xml:space="preserve"> IF(Customer_Table[[#This Row],[Total Spend]] &gt;= 1000, "High", IF(Customer_Table[[#This Row],[Total Spend]]&gt;= 600, "Medium", "Low"))</f>
        <v>High</v>
      </c>
      <c r="O13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32" spans="1:15" x14ac:dyDescent="0.25">
      <c r="A132" s="1">
        <v>231</v>
      </c>
      <c r="B132" t="s">
        <v>15</v>
      </c>
      <c r="C132">
        <v>27</v>
      </c>
      <c r="D132" t="s">
        <v>23</v>
      </c>
      <c r="E132" t="s">
        <v>17</v>
      </c>
      <c r="F132" s="3">
        <v>700.4</v>
      </c>
      <c r="G132">
        <v>13</v>
      </c>
      <c r="H132">
        <v>4</v>
      </c>
      <c r="I132" s="1" t="b">
        <v>1</v>
      </c>
      <c r="J132">
        <v>53</v>
      </c>
      <c r="K132" t="s">
        <v>21</v>
      </c>
      <c r="L132" t="str">
        <f xml:space="preserve"> IF(AND(Customer_Table[[#This Row],[Days Since Last Purchase]]&gt;21,Customer_Table[[#This Row],[Satisfaction Level]] = "Unsatisfied"), "At Risk", "Low Risk")</f>
        <v>At Risk</v>
      </c>
      <c r="M132" t="str">
        <f t="shared" si="2"/>
        <v>26-30</v>
      </c>
      <c r="N132" t="str">
        <f xml:space="preserve"> IF(Customer_Table[[#This Row],[Total Spend]] &gt;= 1000, "High", IF(Customer_Table[[#This Row],[Total Spend]]&gt;= 600, "Medium", "Low"))</f>
        <v>Medium</v>
      </c>
      <c r="O13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33" spans="1:15" x14ac:dyDescent="0.25">
      <c r="A133" s="1">
        <v>232</v>
      </c>
      <c r="B133" t="s">
        <v>11</v>
      </c>
      <c r="C133">
        <v>37</v>
      </c>
      <c r="D133" t="s">
        <v>24</v>
      </c>
      <c r="E133" t="s">
        <v>20</v>
      </c>
      <c r="F133" s="3">
        <v>420.8</v>
      </c>
      <c r="G133">
        <v>7</v>
      </c>
      <c r="H133">
        <v>3.1</v>
      </c>
      <c r="I133" s="1" t="b">
        <v>0</v>
      </c>
      <c r="J133">
        <v>21</v>
      </c>
      <c r="K133" t="s">
        <v>18</v>
      </c>
      <c r="L133" t="str">
        <f xml:space="preserve"> IF(AND(Customer_Table[[#This Row],[Days Since Last Purchase]]&gt;21,Customer_Table[[#This Row],[Satisfaction Level]] = "Unsatisfied"), "At Risk", "Low Risk")</f>
        <v>Low Risk</v>
      </c>
      <c r="M133" t="str">
        <f t="shared" si="2"/>
        <v>36-40</v>
      </c>
      <c r="N133" t="str">
        <f xml:space="preserve"> IF(Customer_Table[[#This Row],[Total Spend]] &gt;= 1000, "High", IF(Customer_Table[[#This Row],[Total Spend]]&gt;= 600, "Medium", "Low"))</f>
        <v>Low</v>
      </c>
      <c r="O13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34" spans="1:15" x14ac:dyDescent="0.25">
      <c r="A134" s="1">
        <v>233</v>
      </c>
      <c r="B134" t="s">
        <v>11</v>
      </c>
      <c r="C134">
        <v>31</v>
      </c>
      <c r="D134" t="s">
        <v>12</v>
      </c>
      <c r="E134" t="s">
        <v>13</v>
      </c>
      <c r="F134" s="3">
        <v>1130.5999999999999</v>
      </c>
      <c r="G134">
        <v>15</v>
      </c>
      <c r="H134">
        <v>4.5</v>
      </c>
      <c r="I134" s="1" t="b">
        <v>1</v>
      </c>
      <c r="J134">
        <v>26</v>
      </c>
      <c r="K134" t="s">
        <v>14</v>
      </c>
      <c r="L134" t="str">
        <f xml:space="preserve"> IF(AND(Customer_Table[[#This Row],[Days Since Last Purchase]]&gt;21,Customer_Table[[#This Row],[Satisfaction Level]] = "Unsatisfied"), "At Risk", "Low Risk")</f>
        <v>Low Risk</v>
      </c>
      <c r="M134" t="str">
        <f t="shared" si="2"/>
        <v>31-35</v>
      </c>
      <c r="N134" t="str">
        <f xml:space="preserve"> IF(Customer_Table[[#This Row],[Total Spend]] &gt;= 1000, "High", IF(Customer_Table[[#This Row],[Total Spend]]&gt;= 600, "Medium", "Low"))</f>
        <v>High</v>
      </c>
      <c r="O13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35" spans="1:15" x14ac:dyDescent="0.25">
      <c r="A135" s="1">
        <v>234</v>
      </c>
      <c r="B135" t="s">
        <v>15</v>
      </c>
      <c r="C135">
        <v>35</v>
      </c>
      <c r="D135" t="s">
        <v>16</v>
      </c>
      <c r="E135" t="s">
        <v>17</v>
      </c>
      <c r="F135" s="3">
        <v>820.9</v>
      </c>
      <c r="G135">
        <v>12</v>
      </c>
      <c r="H135">
        <v>4.3</v>
      </c>
      <c r="I135" s="1" t="b">
        <v>0</v>
      </c>
      <c r="J135">
        <v>12</v>
      </c>
      <c r="K135" t="s">
        <v>18</v>
      </c>
      <c r="L135" t="str">
        <f xml:space="preserve"> IF(AND(Customer_Table[[#This Row],[Days Since Last Purchase]]&gt;21,Customer_Table[[#This Row],[Satisfaction Level]] = "Unsatisfied"), "At Risk", "Low Risk")</f>
        <v>Low Risk</v>
      </c>
      <c r="M135" t="str">
        <f t="shared" si="2"/>
        <v>31-35</v>
      </c>
      <c r="N135" t="str">
        <f xml:space="preserve"> IF(Customer_Table[[#This Row],[Total Spend]] &gt;= 1000, "High", IF(Customer_Table[[#This Row],[Total Spend]]&gt;= 600, "Medium", "Low"))</f>
        <v>Medium</v>
      </c>
      <c r="O13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36" spans="1:15" x14ac:dyDescent="0.25">
      <c r="A136" s="1">
        <v>235</v>
      </c>
      <c r="B136" t="s">
        <v>11</v>
      </c>
      <c r="C136">
        <v>41</v>
      </c>
      <c r="D136" t="s">
        <v>19</v>
      </c>
      <c r="E136" t="s">
        <v>20</v>
      </c>
      <c r="F136" s="3">
        <v>480.25</v>
      </c>
      <c r="G136">
        <v>9</v>
      </c>
      <c r="H136">
        <v>3.6</v>
      </c>
      <c r="I136" s="1" t="b">
        <v>1</v>
      </c>
      <c r="J136">
        <v>38</v>
      </c>
      <c r="K136" t="s">
        <v>21</v>
      </c>
      <c r="L136" t="str">
        <f xml:space="preserve"> IF(AND(Customer_Table[[#This Row],[Days Since Last Purchase]]&gt;21,Customer_Table[[#This Row],[Satisfaction Level]] = "Unsatisfied"), "At Risk", "Low Risk")</f>
        <v>At Risk</v>
      </c>
      <c r="M136" t="str">
        <f t="shared" si="2"/>
        <v>41-43</v>
      </c>
      <c r="N136" t="str">
        <f xml:space="preserve"> IF(Customer_Table[[#This Row],[Total Spend]] &gt;= 1000, "High", IF(Customer_Table[[#This Row],[Total Spend]]&gt;= 600, "Medium", "Low"))</f>
        <v>Low</v>
      </c>
      <c r="O13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37" spans="1:15" x14ac:dyDescent="0.25">
      <c r="A137" s="1">
        <v>236</v>
      </c>
      <c r="B137" t="s">
        <v>15</v>
      </c>
      <c r="C137">
        <v>28</v>
      </c>
      <c r="D137" t="s">
        <v>22</v>
      </c>
      <c r="E137" t="s">
        <v>13</v>
      </c>
      <c r="F137" s="3">
        <v>1490.1</v>
      </c>
      <c r="G137">
        <v>21</v>
      </c>
      <c r="H137">
        <v>4.9000000000000004</v>
      </c>
      <c r="I137" s="1" t="b">
        <v>0</v>
      </c>
      <c r="J137">
        <v>9</v>
      </c>
      <c r="K137" t="s">
        <v>14</v>
      </c>
      <c r="L137" t="str">
        <f xml:space="preserve"> IF(AND(Customer_Table[[#This Row],[Days Since Last Purchase]]&gt;21,Customer_Table[[#This Row],[Satisfaction Level]] = "Unsatisfied"), "At Risk", "Low Risk")</f>
        <v>Low Risk</v>
      </c>
      <c r="M137" t="str">
        <f t="shared" si="2"/>
        <v>26-30</v>
      </c>
      <c r="N137" t="str">
        <f xml:space="preserve"> IF(Customer_Table[[#This Row],[Total Spend]] &gt;= 1000, "High", IF(Customer_Table[[#This Row],[Total Spend]]&gt;= 600, "Medium", "Low"))</f>
        <v>High</v>
      </c>
      <c r="O13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38" spans="1:15" x14ac:dyDescent="0.25">
      <c r="A138" s="1">
        <v>237</v>
      </c>
      <c r="B138" t="s">
        <v>15</v>
      </c>
      <c r="C138">
        <v>32</v>
      </c>
      <c r="D138" t="s">
        <v>23</v>
      </c>
      <c r="E138" t="s">
        <v>17</v>
      </c>
      <c r="F138" s="3">
        <v>680.3</v>
      </c>
      <c r="G138">
        <v>10</v>
      </c>
      <c r="H138">
        <v>3.8</v>
      </c>
      <c r="I138" s="1" t="b">
        <v>1</v>
      </c>
      <c r="J138">
        <v>32</v>
      </c>
      <c r="K138" t="s">
        <v>21</v>
      </c>
      <c r="L138" t="str">
        <f xml:space="preserve"> IF(AND(Customer_Table[[#This Row],[Days Since Last Purchase]]&gt;21,Customer_Table[[#This Row],[Satisfaction Level]] = "Unsatisfied"), "At Risk", "Low Risk")</f>
        <v>At Risk</v>
      </c>
      <c r="M138" t="str">
        <f t="shared" si="2"/>
        <v>31-35</v>
      </c>
      <c r="N138" t="str">
        <f xml:space="preserve"> IF(Customer_Table[[#This Row],[Total Spend]] &gt;= 1000, "High", IF(Customer_Table[[#This Row],[Total Spend]]&gt;= 600, "Medium", "Low"))</f>
        <v>Medium</v>
      </c>
      <c r="O13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39" spans="1:15" x14ac:dyDescent="0.25">
      <c r="A139" s="1">
        <v>238</v>
      </c>
      <c r="B139" t="s">
        <v>11</v>
      </c>
      <c r="C139">
        <v>36</v>
      </c>
      <c r="D139" t="s">
        <v>24</v>
      </c>
      <c r="E139" t="s">
        <v>20</v>
      </c>
      <c r="F139" s="3">
        <v>470.5</v>
      </c>
      <c r="G139">
        <v>8</v>
      </c>
      <c r="H139">
        <v>3</v>
      </c>
      <c r="I139" s="1" t="b">
        <v>0</v>
      </c>
      <c r="J139">
        <v>18</v>
      </c>
      <c r="K139" t="s">
        <v>18</v>
      </c>
      <c r="L139" t="str">
        <f xml:space="preserve"> IF(AND(Customer_Table[[#This Row],[Days Since Last Purchase]]&gt;21,Customer_Table[[#This Row],[Satisfaction Level]] = "Unsatisfied"), "At Risk", "Low Risk")</f>
        <v>Low Risk</v>
      </c>
      <c r="M139" t="str">
        <f t="shared" si="2"/>
        <v>36-40</v>
      </c>
      <c r="N139" t="str">
        <f xml:space="preserve"> IF(Customer_Table[[#This Row],[Total Spend]] &gt;= 1000, "High", IF(Customer_Table[[#This Row],[Total Spend]]&gt;= 600, "Medium", "Low"))</f>
        <v>Low</v>
      </c>
      <c r="O13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40" spans="1:15" x14ac:dyDescent="0.25">
      <c r="A140" s="1">
        <v>239</v>
      </c>
      <c r="B140" t="s">
        <v>11</v>
      </c>
      <c r="C140">
        <v>30</v>
      </c>
      <c r="D140" t="s">
        <v>12</v>
      </c>
      <c r="E140" t="s">
        <v>13</v>
      </c>
      <c r="F140" s="3">
        <v>1180.8</v>
      </c>
      <c r="G140">
        <v>16</v>
      </c>
      <c r="H140">
        <v>4.7</v>
      </c>
      <c r="I140" s="1" t="b">
        <v>1</v>
      </c>
      <c r="J140">
        <v>19</v>
      </c>
      <c r="K140" t="s">
        <v>14</v>
      </c>
      <c r="L140" t="str">
        <f xml:space="preserve"> IF(AND(Customer_Table[[#This Row],[Days Since Last Purchase]]&gt;21,Customer_Table[[#This Row],[Satisfaction Level]] = "Unsatisfied"), "At Risk", "Low Risk")</f>
        <v>Low Risk</v>
      </c>
      <c r="M140" t="str">
        <f t="shared" si="2"/>
        <v>26-30</v>
      </c>
      <c r="N140" t="str">
        <f xml:space="preserve"> IF(Customer_Table[[#This Row],[Total Spend]] &gt;= 1000, "High", IF(Customer_Table[[#This Row],[Total Spend]]&gt;= 600, "Medium", "Low"))</f>
        <v>High</v>
      </c>
      <c r="O14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41" spans="1:15" x14ac:dyDescent="0.25">
      <c r="A141" s="1">
        <v>240</v>
      </c>
      <c r="B141" t="s">
        <v>15</v>
      </c>
      <c r="C141">
        <v>34</v>
      </c>
      <c r="D141" t="s">
        <v>16</v>
      </c>
      <c r="E141" t="s">
        <v>17</v>
      </c>
      <c r="F141" s="3">
        <v>790.2</v>
      </c>
      <c r="G141">
        <v>11</v>
      </c>
      <c r="H141">
        <v>4</v>
      </c>
      <c r="I141" s="1" t="b">
        <v>0</v>
      </c>
      <c r="J141">
        <v>15</v>
      </c>
      <c r="K141" t="s">
        <v>18</v>
      </c>
      <c r="L141" t="str">
        <f xml:space="preserve"> IF(AND(Customer_Table[[#This Row],[Days Since Last Purchase]]&gt;21,Customer_Table[[#This Row],[Satisfaction Level]] = "Unsatisfied"), "At Risk", "Low Risk")</f>
        <v>Low Risk</v>
      </c>
      <c r="M141" t="str">
        <f t="shared" si="2"/>
        <v>31-35</v>
      </c>
      <c r="N141" t="str">
        <f xml:space="preserve"> IF(Customer_Table[[#This Row],[Total Spend]] &gt;= 1000, "High", IF(Customer_Table[[#This Row],[Total Spend]]&gt;= 600, "Medium", "Low"))</f>
        <v>Medium</v>
      </c>
      <c r="O14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42" spans="1:15" x14ac:dyDescent="0.25">
      <c r="A142" s="1">
        <v>241</v>
      </c>
      <c r="B142" t="s">
        <v>11</v>
      </c>
      <c r="C142">
        <v>43</v>
      </c>
      <c r="D142" t="s">
        <v>19</v>
      </c>
      <c r="E142" t="s">
        <v>20</v>
      </c>
      <c r="F142" s="3">
        <v>505.75</v>
      </c>
      <c r="G142">
        <v>10</v>
      </c>
      <c r="H142">
        <v>3.3</v>
      </c>
      <c r="I142" s="1" t="b">
        <v>1</v>
      </c>
      <c r="J142">
        <v>39</v>
      </c>
      <c r="K142" t="s">
        <v>21</v>
      </c>
      <c r="L142" t="str">
        <f xml:space="preserve"> IF(AND(Customer_Table[[#This Row],[Days Since Last Purchase]]&gt;21,Customer_Table[[#This Row],[Satisfaction Level]] = "Unsatisfied"), "At Risk", "Low Risk")</f>
        <v>At Risk</v>
      </c>
      <c r="M142" t="str">
        <f t="shared" si="2"/>
        <v>41-43</v>
      </c>
      <c r="N142" t="str">
        <f xml:space="preserve"> IF(Customer_Table[[#This Row],[Total Spend]] &gt;= 1000, "High", IF(Customer_Table[[#This Row],[Total Spend]]&gt;= 600, "Medium", "Low"))</f>
        <v>Low</v>
      </c>
      <c r="O14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43" spans="1:15" x14ac:dyDescent="0.25">
      <c r="A143" s="1">
        <v>242</v>
      </c>
      <c r="B143" t="s">
        <v>15</v>
      </c>
      <c r="C143">
        <v>30</v>
      </c>
      <c r="D143" t="s">
        <v>22</v>
      </c>
      <c r="E143" t="s">
        <v>13</v>
      </c>
      <c r="F143" s="3">
        <v>1470.5</v>
      </c>
      <c r="G143">
        <v>20</v>
      </c>
      <c r="H143">
        <v>4.8</v>
      </c>
      <c r="I143" s="1" t="b">
        <v>0</v>
      </c>
      <c r="J143">
        <v>13</v>
      </c>
      <c r="K143" t="s">
        <v>14</v>
      </c>
      <c r="L143" t="str">
        <f xml:space="preserve"> IF(AND(Customer_Table[[#This Row],[Days Since Last Purchase]]&gt;21,Customer_Table[[#This Row],[Satisfaction Level]] = "Unsatisfied"), "At Risk", "Low Risk")</f>
        <v>Low Risk</v>
      </c>
      <c r="M143" t="str">
        <f t="shared" si="2"/>
        <v>26-30</v>
      </c>
      <c r="N143" t="str">
        <f xml:space="preserve"> IF(Customer_Table[[#This Row],[Total Spend]] &gt;= 1000, "High", IF(Customer_Table[[#This Row],[Total Spend]]&gt;= 600, "Medium", "Low"))</f>
        <v>High</v>
      </c>
      <c r="O14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44" spans="1:15" x14ac:dyDescent="0.25">
      <c r="A144" s="1">
        <v>243</v>
      </c>
      <c r="B144" t="s">
        <v>15</v>
      </c>
      <c r="C144">
        <v>27</v>
      </c>
      <c r="D144" t="s">
        <v>23</v>
      </c>
      <c r="E144" t="s">
        <v>17</v>
      </c>
      <c r="F144" s="3">
        <v>710.4</v>
      </c>
      <c r="G144">
        <v>13</v>
      </c>
      <c r="H144">
        <v>4.0999999999999996</v>
      </c>
      <c r="I144" s="1" t="b">
        <v>1</v>
      </c>
      <c r="J144">
        <v>54</v>
      </c>
      <c r="K144" t="s">
        <v>21</v>
      </c>
      <c r="L144" t="str">
        <f xml:space="preserve"> IF(AND(Customer_Table[[#This Row],[Days Since Last Purchase]]&gt;21,Customer_Table[[#This Row],[Satisfaction Level]] = "Unsatisfied"), "At Risk", "Low Risk")</f>
        <v>At Risk</v>
      </c>
      <c r="M144" t="str">
        <f t="shared" si="2"/>
        <v>26-30</v>
      </c>
      <c r="N144" t="str">
        <f xml:space="preserve"> IF(Customer_Table[[#This Row],[Total Spend]] &gt;= 1000, "High", IF(Customer_Table[[#This Row],[Total Spend]]&gt;= 600, "Medium", "Low"))</f>
        <v>Medium</v>
      </c>
      <c r="O14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45" spans="1:15" x14ac:dyDescent="0.25">
      <c r="A145" s="1">
        <v>244</v>
      </c>
      <c r="B145" t="s">
        <v>11</v>
      </c>
      <c r="C145">
        <v>37</v>
      </c>
      <c r="D145" t="s">
        <v>24</v>
      </c>
      <c r="E145" t="s">
        <v>20</v>
      </c>
      <c r="F145" s="3">
        <v>430.8</v>
      </c>
      <c r="G145">
        <v>7</v>
      </c>
      <c r="H145">
        <v>3.4</v>
      </c>
      <c r="I145" s="1" t="b">
        <v>0</v>
      </c>
      <c r="J145">
        <v>23</v>
      </c>
      <c r="K145" t="s">
        <v>18</v>
      </c>
      <c r="L145" t="str">
        <f xml:space="preserve"> IF(AND(Customer_Table[[#This Row],[Days Since Last Purchase]]&gt;21,Customer_Table[[#This Row],[Satisfaction Level]] = "Unsatisfied"), "At Risk", "Low Risk")</f>
        <v>Low Risk</v>
      </c>
      <c r="M145" t="str">
        <f t="shared" si="2"/>
        <v>36-40</v>
      </c>
      <c r="N145" t="str">
        <f xml:space="preserve"> IF(Customer_Table[[#This Row],[Total Spend]] &gt;= 1000, "High", IF(Customer_Table[[#This Row],[Total Spend]]&gt;= 600, "Medium", "Low"))</f>
        <v>Low</v>
      </c>
      <c r="O14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46" spans="1:15" x14ac:dyDescent="0.25">
      <c r="A146" s="1">
        <v>245</v>
      </c>
      <c r="B146" t="s">
        <v>11</v>
      </c>
      <c r="C146">
        <v>31</v>
      </c>
      <c r="D146" t="s">
        <v>12</v>
      </c>
      <c r="E146" t="s">
        <v>13</v>
      </c>
      <c r="F146" s="3">
        <v>1130.5999999999999</v>
      </c>
      <c r="G146">
        <v>15</v>
      </c>
      <c r="H146">
        <v>4.5</v>
      </c>
      <c r="I146" s="1" t="b">
        <v>1</v>
      </c>
      <c r="J146">
        <v>26</v>
      </c>
      <c r="K146" t="s">
        <v>14</v>
      </c>
      <c r="L146" t="str">
        <f xml:space="preserve"> IF(AND(Customer_Table[[#This Row],[Days Since Last Purchase]]&gt;21,Customer_Table[[#This Row],[Satisfaction Level]] = "Unsatisfied"), "At Risk", "Low Risk")</f>
        <v>Low Risk</v>
      </c>
      <c r="M146" t="str">
        <f t="shared" si="2"/>
        <v>31-35</v>
      </c>
      <c r="N146" t="str">
        <f xml:space="preserve"> IF(Customer_Table[[#This Row],[Total Spend]] &gt;= 1000, "High", IF(Customer_Table[[#This Row],[Total Spend]]&gt;= 600, "Medium", "Low"))</f>
        <v>High</v>
      </c>
      <c r="O14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47" spans="1:15" x14ac:dyDescent="0.25">
      <c r="A147" s="1">
        <v>246</v>
      </c>
      <c r="B147" t="s">
        <v>15</v>
      </c>
      <c r="C147">
        <v>35</v>
      </c>
      <c r="D147" t="s">
        <v>16</v>
      </c>
      <c r="E147" t="s">
        <v>17</v>
      </c>
      <c r="F147" s="3">
        <v>820.9</v>
      </c>
      <c r="G147">
        <v>12</v>
      </c>
      <c r="H147">
        <v>4.3</v>
      </c>
      <c r="I147" s="1" t="b">
        <v>0</v>
      </c>
      <c r="J147">
        <v>12</v>
      </c>
      <c r="K147" t="s">
        <v>18</v>
      </c>
      <c r="L147" t="str">
        <f xml:space="preserve"> IF(AND(Customer_Table[[#This Row],[Days Since Last Purchase]]&gt;21,Customer_Table[[#This Row],[Satisfaction Level]] = "Unsatisfied"), "At Risk", "Low Risk")</f>
        <v>Low Risk</v>
      </c>
      <c r="M147" t="str">
        <f t="shared" si="2"/>
        <v>31-35</v>
      </c>
      <c r="N147" t="str">
        <f xml:space="preserve"> IF(Customer_Table[[#This Row],[Total Spend]] &gt;= 1000, "High", IF(Customer_Table[[#This Row],[Total Spend]]&gt;= 600, "Medium", "Low"))</f>
        <v>Medium</v>
      </c>
      <c r="O14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48" spans="1:15" x14ac:dyDescent="0.25">
      <c r="A148" s="1">
        <v>247</v>
      </c>
      <c r="B148" t="s">
        <v>11</v>
      </c>
      <c r="C148">
        <v>41</v>
      </c>
      <c r="D148" t="s">
        <v>19</v>
      </c>
      <c r="E148" t="s">
        <v>20</v>
      </c>
      <c r="F148" s="3">
        <v>480.25</v>
      </c>
      <c r="G148">
        <v>9</v>
      </c>
      <c r="H148">
        <v>3.6</v>
      </c>
      <c r="I148" s="1" t="b">
        <v>1</v>
      </c>
      <c r="J148">
        <v>38</v>
      </c>
      <c r="K148" t="s">
        <v>21</v>
      </c>
      <c r="L148" t="str">
        <f xml:space="preserve"> IF(AND(Customer_Table[[#This Row],[Days Since Last Purchase]]&gt;21,Customer_Table[[#This Row],[Satisfaction Level]] = "Unsatisfied"), "At Risk", "Low Risk")</f>
        <v>At Risk</v>
      </c>
      <c r="M148" t="str">
        <f t="shared" si="2"/>
        <v>41-43</v>
      </c>
      <c r="N148" t="str">
        <f xml:space="preserve"> IF(Customer_Table[[#This Row],[Total Spend]] &gt;= 1000, "High", IF(Customer_Table[[#This Row],[Total Spend]]&gt;= 600, "Medium", "Low"))</f>
        <v>Low</v>
      </c>
      <c r="O14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49" spans="1:15" x14ac:dyDescent="0.25">
      <c r="A149" s="1">
        <v>248</v>
      </c>
      <c r="B149" t="s">
        <v>15</v>
      </c>
      <c r="C149">
        <v>28</v>
      </c>
      <c r="D149" t="s">
        <v>22</v>
      </c>
      <c r="E149" t="s">
        <v>13</v>
      </c>
      <c r="F149" s="3">
        <v>1490.1</v>
      </c>
      <c r="G149">
        <v>21</v>
      </c>
      <c r="H149">
        <v>4.9000000000000004</v>
      </c>
      <c r="I149" s="1" t="b">
        <v>0</v>
      </c>
      <c r="J149">
        <v>9</v>
      </c>
      <c r="K149" t="s">
        <v>14</v>
      </c>
      <c r="L149" t="str">
        <f xml:space="preserve"> IF(AND(Customer_Table[[#This Row],[Days Since Last Purchase]]&gt;21,Customer_Table[[#This Row],[Satisfaction Level]] = "Unsatisfied"), "At Risk", "Low Risk")</f>
        <v>Low Risk</v>
      </c>
      <c r="M149" t="str">
        <f t="shared" si="2"/>
        <v>26-30</v>
      </c>
      <c r="N149" t="str">
        <f xml:space="preserve"> IF(Customer_Table[[#This Row],[Total Spend]] &gt;= 1000, "High", IF(Customer_Table[[#This Row],[Total Spend]]&gt;= 600, "Medium", "Low"))</f>
        <v>High</v>
      </c>
      <c r="O14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50" spans="1:15" x14ac:dyDescent="0.25">
      <c r="A150" s="1">
        <v>249</v>
      </c>
      <c r="B150" t="s">
        <v>15</v>
      </c>
      <c r="C150">
        <v>32</v>
      </c>
      <c r="D150" t="s">
        <v>23</v>
      </c>
      <c r="E150" t="s">
        <v>17</v>
      </c>
      <c r="F150" s="3">
        <v>680.3</v>
      </c>
      <c r="G150">
        <v>10</v>
      </c>
      <c r="H150">
        <v>3.8</v>
      </c>
      <c r="I150" s="1" t="b">
        <v>1</v>
      </c>
      <c r="J150">
        <v>32</v>
      </c>
      <c r="K150" t="s">
        <v>21</v>
      </c>
      <c r="L150" t="str">
        <f xml:space="preserve"> IF(AND(Customer_Table[[#This Row],[Days Since Last Purchase]]&gt;21,Customer_Table[[#This Row],[Satisfaction Level]] = "Unsatisfied"), "At Risk", "Low Risk")</f>
        <v>At Risk</v>
      </c>
      <c r="M150" t="str">
        <f t="shared" si="2"/>
        <v>31-35</v>
      </c>
      <c r="N150" t="str">
        <f xml:space="preserve"> IF(Customer_Table[[#This Row],[Total Spend]] &gt;= 1000, "High", IF(Customer_Table[[#This Row],[Total Spend]]&gt;= 600, "Medium", "Low"))</f>
        <v>Medium</v>
      </c>
      <c r="O15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51" spans="1:15" x14ac:dyDescent="0.25">
      <c r="A151" s="1">
        <v>250</v>
      </c>
      <c r="B151" t="s">
        <v>11</v>
      </c>
      <c r="C151">
        <v>36</v>
      </c>
      <c r="D151" t="s">
        <v>24</v>
      </c>
      <c r="E151" t="s">
        <v>20</v>
      </c>
      <c r="F151" s="3">
        <v>470.5</v>
      </c>
      <c r="G151">
        <v>8</v>
      </c>
      <c r="H151">
        <v>3</v>
      </c>
      <c r="I151" s="1" t="b">
        <v>0</v>
      </c>
      <c r="J151">
        <v>18</v>
      </c>
      <c r="K151" t="s">
        <v>18</v>
      </c>
      <c r="L151" t="str">
        <f xml:space="preserve"> IF(AND(Customer_Table[[#This Row],[Days Since Last Purchase]]&gt;21,Customer_Table[[#This Row],[Satisfaction Level]] = "Unsatisfied"), "At Risk", "Low Risk")</f>
        <v>Low Risk</v>
      </c>
      <c r="M151" t="str">
        <f t="shared" si="2"/>
        <v>36-40</v>
      </c>
      <c r="N151" t="str">
        <f xml:space="preserve"> IF(Customer_Table[[#This Row],[Total Spend]] &gt;= 1000, "High", IF(Customer_Table[[#This Row],[Total Spend]]&gt;= 600, "Medium", "Low"))</f>
        <v>Low</v>
      </c>
      <c r="O15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52" spans="1:15" x14ac:dyDescent="0.25">
      <c r="A152" s="1">
        <v>251</v>
      </c>
      <c r="B152" t="s">
        <v>11</v>
      </c>
      <c r="C152">
        <v>30</v>
      </c>
      <c r="D152" t="s">
        <v>12</v>
      </c>
      <c r="E152" t="s">
        <v>13</v>
      </c>
      <c r="F152" s="3">
        <v>1180.8</v>
      </c>
      <c r="G152">
        <v>16</v>
      </c>
      <c r="H152">
        <v>4.7</v>
      </c>
      <c r="I152" s="1" t="b">
        <v>1</v>
      </c>
      <c r="J152">
        <v>19</v>
      </c>
      <c r="K152" t="s">
        <v>14</v>
      </c>
      <c r="L152" t="str">
        <f xml:space="preserve"> IF(AND(Customer_Table[[#This Row],[Days Since Last Purchase]]&gt;21,Customer_Table[[#This Row],[Satisfaction Level]] = "Unsatisfied"), "At Risk", "Low Risk")</f>
        <v>Low Risk</v>
      </c>
      <c r="M152" t="str">
        <f t="shared" si="2"/>
        <v>26-30</v>
      </c>
      <c r="N152" t="str">
        <f xml:space="preserve"> IF(Customer_Table[[#This Row],[Total Spend]] &gt;= 1000, "High", IF(Customer_Table[[#This Row],[Total Spend]]&gt;= 600, "Medium", "Low"))</f>
        <v>High</v>
      </c>
      <c r="O15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53" spans="1:15" x14ac:dyDescent="0.25">
      <c r="A153" s="1">
        <v>252</v>
      </c>
      <c r="B153" t="s">
        <v>15</v>
      </c>
      <c r="C153">
        <v>34</v>
      </c>
      <c r="D153" t="s">
        <v>16</v>
      </c>
      <c r="E153" t="s">
        <v>17</v>
      </c>
      <c r="F153" s="3">
        <v>790.2</v>
      </c>
      <c r="G153">
        <v>11</v>
      </c>
      <c r="H153">
        <v>4</v>
      </c>
      <c r="I153" s="1" t="b">
        <v>0</v>
      </c>
      <c r="J153">
        <v>15</v>
      </c>
      <c r="K153" t="s">
        <v>18</v>
      </c>
      <c r="L153" t="str">
        <f xml:space="preserve"> IF(AND(Customer_Table[[#This Row],[Days Since Last Purchase]]&gt;21,Customer_Table[[#This Row],[Satisfaction Level]] = "Unsatisfied"), "At Risk", "Low Risk")</f>
        <v>Low Risk</v>
      </c>
      <c r="M153" t="str">
        <f t="shared" si="2"/>
        <v>31-35</v>
      </c>
      <c r="N153" t="str">
        <f xml:space="preserve"> IF(Customer_Table[[#This Row],[Total Spend]] &gt;= 1000, "High", IF(Customer_Table[[#This Row],[Total Spend]]&gt;= 600, "Medium", "Low"))</f>
        <v>Medium</v>
      </c>
      <c r="O15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54" spans="1:15" x14ac:dyDescent="0.25">
      <c r="A154" s="1">
        <v>253</v>
      </c>
      <c r="B154" t="s">
        <v>11</v>
      </c>
      <c r="C154">
        <v>43</v>
      </c>
      <c r="D154" t="s">
        <v>19</v>
      </c>
      <c r="E154" t="s">
        <v>20</v>
      </c>
      <c r="F154" s="3">
        <v>505.75</v>
      </c>
      <c r="G154">
        <v>10</v>
      </c>
      <c r="H154">
        <v>3.3</v>
      </c>
      <c r="I154" s="1" t="b">
        <v>1</v>
      </c>
      <c r="J154">
        <v>39</v>
      </c>
      <c r="K154" t="s">
        <v>21</v>
      </c>
      <c r="L154" t="str">
        <f xml:space="preserve"> IF(AND(Customer_Table[[#This Row],[Days Since Last Purchase]]&gt;21,Customer_Table[[#This Row],[Satisfaction Level]] = "Unsatisfied"), "At Risk", "Low Risk")</f>
        <v>At Risk</v>
      </c>
      <c r="M154" t="str">
        <f t="shared" si="2"/>
        <v>41-43</v>
      </c>
      <c r="N154" t="str">
        <f xml:space="preserve"> IF(Customer_Table[[#This Row],[Total Spend]] &gt;= 1000, "High", IF(Customer_Table[[#This Row],[Total Spend]]&gt;= 600, "Medium", "Low"))</f>
        <v>Low</v>
      </c>
      <c r="O15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55" spans="1:15" x14ac:dyDescent="0.25">
      <c r="A155" s="1">
        <v>254</v>
      </c>
      <c r="B155" t="s">
        <v>15</v>
      </c>
      <c r="C155">
        <v>30</v>
      </c>
      <c r="D155" t="s">
        <v>22</v>
      </c>
      <c r="E155" t="s">
        <v>13</v>
      </c>
      <c r="F155" s="3">
        <v>1470.5</v>
      </c>
      <c r="G155">
        <v>20</v>
      </c>
      <c r="H155">
        <v>4.8</v>
      </c>
      <c r="I155" s="1" t="b">
        <v>0</v>
      </c>
      <c r="J155">
        <v>13</v>
      </c>
      <c r="K155" t="s">
        <v>14</v>
      </c>
      <c r="L155" t="str">
        <f xml:space="preserve"> IF(AND(Customer_Table[[#This Row],[Days Since Last Purchase]]&gt;21,Customer_Table[[#This Row],[Satisfaction Level]] = "Unsatisfied"), "At Risk", "Low Risk")</f>
        <v>Low Risk</v>
      </c>
      <c r="M155" t="str">
        <f t="shared" si="2"/>
        <v>26-30</v>
      </c>
      <c r="N155" t="str">
        <f xml:space="preserve"> IF(Customer_Table[[#This Row],[Total Spend]] &gt;= 1000, "High", IF(Customer_Table[[#This Row],[Total Spend]]&gt;= 600, "Medium", "Low"))</f>
        <v>High</v>
      </c>
      <c r="O15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56" spans="1:15" x14ac:dyDescent="0.25">
      <c r="A156" s="1">
        <v>255</v>
      </c>
      <c r="B156" t="s">
        <v>15</v>
      </c>
      <c r="C156">
        <v>27</v>
      </c>
      <c r="D156" t="s">
        <v>23</v>
      </c>
      <c r="E156" t="s">
        <v>17</v>
      </c>
      <c r="F156" s="3">
        <v>710.4</v>
      </c>
      <c r="G156">
        <v>13</v>
      </c>
      <c r="H156">
        <v>4.0999999999999996</v>
      </c>
      <c r="I156" s="1" t="b">
        <v>1</v>
      </c>
      <c r="J156">
        <v>54</v>
      </c>
      <c r="K156" t="s">
        <v>21</v>
      </c>
      <c r="L156" t="str">
        <f xml:space="preserve"> IF(AND(Customer_Table[[#This Row],[Days Since Last Purchase]]&gt;21,Customer_Table[[#This Row],[Satisfaction Level]] = "Unsatisfied"), "At Risk", "Low Risk")</f>
        <v>At Risk</v>
      </c>
      <c r="M156" t="str">
        <f t="shared" si="2"/>
        <v>26-30</v>
      </c>
      <c r="N156" t="str">
        <f xml:space="preserve"> IF(Customer_Table[[#This Row],[Total Spend]] &gt;= 1000, "High", IF(Customer_Table[[#This Row],[Total Spend]]&gt;= 600, "Medium", "Low"))</f>
        <v>Medium</v>
      </c>
      <c r="O15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57" spans="1:15" x14ac:dyDescent="0.25">
      <c r="A157" s="1">
        <v>256</v>
      </c>
      <c r="B157" t="s">
        <v>11</v>
      </c>
      <c r="C157">
        <v>37</v>
      </c>
      <c r="D157" t="s">
        <v>24</v>
      </c>
      <c r="E157" t="s">
        <v>20</v>
      </c>
      <c r="F157" s="3">
        <v>430.8</v>
      </c>
      <c r="G157">
        <v>7</v>
      </c>
      <c r="H157">
        <v>3.4</v>
      </c>
      <c r="I157" s="1" t="b">
        <v>0</v>
      </c>
      <c r="J157">
        <v>23</v>
      </c>
      <c r="K157" t="s">
        <v>18</v>
      </c>
      <c r="L157" t="str">
        <f xml:space="preserve"> IF(AND(Customer_Table[[#This Row],[Days Since Last Purchase]]&gt;21,Customer_Table[[#This Row],[Satisfaction Level]] = "Unsatisfied"), "At Risk", "Low Risk")</f>
        <v>Low Risk</v>
      </c>
      <c r="M157" t="str">
        <f t="shared" si="2"/>
        <v>36-40</v>
      </c>
      <c r="N157" t="str">
        <f xml:space="preserve"> IF(Customer_Table[[#This Row],[Total Spend]] &gt;= 1000, "High", IF(Customer_Table[[#This Row],[Total Spend]]&gt;= 600, "Medium", "Low"))</f>
        <v>Low</v>
      </c>
      <c r="O15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58" spans="1:15" x14ac:dyDescent="0.25">
      <c r="A158" s="1">
        <v>257</v>
      </c>
      <c r="B158" t="s">
        <v>11</v>
      </c>
      <c r="C158">
        <v>31</v>
      </c>
      <c r="D158" t="s">
        <v>12</v>
      </c>
      <c r="E158" t="s">
        <v>13</v>
      </c>
      <c r="F158" s="3">
        <v>1140.5999999999999</v>
      </c>
      <c r="G158">
        <v>15</v>
      </c>
      <c r="H158">
        <v>4.5999999999999996</v>
      </c>
      <c r="I158" s="1" t="b">
        <v>1</v>
      </c>
      <c r="J158">
        <v>27</v>
      </c>
      <c r="K158" t="s">
        <v>14</v>
      </c>
      <c r="L158" t="str">
        <f xml:space="preserve"> IF(AND(Customer_Table[[#This Row],[Days Since Last Purchase]]&gt;21,Customer_Table[[#This Row],[Satisfaction Level]] = "Unsatisfied"), "At Risk", "Low Risk")</f>
        <v>Low Risk</v>
      </c>
      <c r="M158" t="str">
        <f t="shared" si="2"/>
        <v>31-35</v>
      </c>
      <c r="N158" t="str">
        <f xml:space="preserve"> IF(Customer_Table[[#This Row],[Total Spend]] &gt;= 1000, "High", IF(Customer_Table[[#This Row],[Total Spend]]&gt;= 600, "Medium", "Low"))</f>
        <v>High</v>
      </c>
      <c r="O15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59" spans="1:15" x14ac:dyDescent="0.25">
      <c r="A159" s="1">
        <v>258</v>
      </c>
      <c r="B159" t="s">
        <v>15</v>
      </c>
      <c r="C159">
        <v>35</v>
      </c>
      <c r="D159" t="s">
        <v>16</v>
      </c>
      <c r="E159" t="s">
        <v>17</v>
      </c>
      <c r="F159" s="3">
        <v>810.9</v>
      </c>
      <c r="G159">
        <v>12</v>
      </c>
      <c r="H159">
        <v>4.3</v>
      </c>
      <c r="I159" s="1" t="b">
        <v>0</v>
      </c>
      <c r="J159">
        <v>13</v>
      </c>
      <c r="K159" t="s">
        <v>18</v>
      </c>
      <c r="L159" t="str">
        <f xml:space="preserve"> IF(AND(Customer_Table[[#This Row],[Days Since Last Purchase]]&gt;21,Customer_Table[[#This Row],[Satisfaction Level]] = "Unsatisfied"), "At Risk", "Low Risk")</f>
        <v>Low Risk</v>
      </c>
      <c r="M159" t="str">
        <f t="shared" si="2"/>
        <v>31-35</v>
      </c>
      <c r="N159" t="str">
        <f xml:space="preserve"> IF(Customer_Table[[#This Row],[Total Spend]] &gt;= 1000, "High", IF(Customer_Table[[#This Row],[Total Spend]]&gt;= 600, "Medium", "Low"))</f>
        <v>Medium</v>
      </c>
      <c r="O15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60" spans="1:15" x14ac:dyDescent="0.25">
      <c r="A160" s="1">
        <v>259</v>
      </c>
      <c r="B160" t="s">
        <v>11</v>
      </c>
      <c r="C160">
        <v>41</v>
      </c>
      <c r="D160" t="s">
        <v>19</v>
      </c>
      <c r="E160" t="s">
        <v>20</v>
      </c>
      <c r="F160" s="3">
        <v>485.25</v>
      </c>
      <c r="G160">
        <v>9</v>
      </c>
      <c r="H160">
        <v>3.6</v>
      </c>
      <c r="I160" s="1" t="b">
        <v>1</v>
      </c>
      <c r="J160">
        <v>39</v>
      </c>
      <c r="K160" t="s">
        <v>21</v>
      </c>
      <c r="L160" t="str">
        <f xml:space="preserve"> IF(AND(Customer_Table[[#This Row],[Days Since Last Purchase]]&gt;21,Customer_Table[[#This Row],[Satisfaction Level]] = "Unsatisfied"), "At Risk", "Low Risk")</f>
        <v>At Risk</v>
      </c>
      <c r="M160" t="str">
        <f t="shared" si="2"/>
        <v>41-43</v>
      </c>
      <c r="N160" t="str">
        <f xml:space="preserve"> IF(Customer_Table[[#This Row],[Total Spend]] &gt;= 1000, "High", IF(Customer_Table[[#This Row],[Total Spend]]&gt;= 600, "Medium", "Low"))</f>
        <v>Low</v>
      </c>
      <c r="O16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61" spans="1:15" x14ac:dyDescent="0.25">
      <c r="A161" s="1">
        <v>260</v>
      </c>
      <c r="B161" t="s">
        <v>15</v>
      </c>
      <c r="C161">
        <v>28</v>
      </c>
      <c r="D161" t="s">
        <v>22</v>
      </c>
      <c r="E161" t="s">
        <v>13</v>
      </c>
      <c r="F161" s="3">
        <v>1500.1</v>
      </c>
      <c r="G161">
        <v>21</v>
      </c>
      <c r="H161">
        <v>4.9000000000000004</v>
      </c>
      <c r="I161" s="1" t="b">
        <v>0</v>
      </c>
      <c r="J161">
        <v>10</v>
      </c>
      <c r="K161" t="s">
        <v>14</v>
      </c>
      <c r="L161" t="str">
        <f xml:space="preserve"> IF(AND(Customer_Table[[#This Row],[Days Since Last Purchase]]&gt;21,Customer_Table[[#This Row],[Satisfaction Level]] = "Unsatisfied"), "At Risk", "Low Risk")</f>
        <v>Low Risk</v>
      </c>
      <c r="M161" t="str">
        <f t="shared" si="2"/>
        <v>26-30</v>
      </c>
      <c r="N161" t="str">
        <f xml:space="preserve"> IF(Customer_Table[[#This Row],[Total Spend]] &gt;= 1000, "High", IF(Customer_Table[[#This Row],[Total Spend]]&gt;= 600, "Medium", "Low"))</f>
        <v>High</v>
      </c>
      <c r="O16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62" spans="1:15" x14ac:dyDescent="0.25">
      <c r="A162" s="1">
        <v>261</v>
      </c>
      <c r="B162" t="s">
        <v>15</v>
      </c>
      <c r="C162">
        <v>32</v>
      </c>
      <c r="D162" t="s">
        <v>23</v>
      </c>
      <c r="E162" t="s">
        <v>17</v>
      </c>
      <c r="F162" s="3">
        <v>670.3</v>
      </c>
      <c r="G162">
        <v>10</v>
      </c>
      <c r="H162">
        <v>3.8</v>
      </c>
      <c r="I162" s="1" t="b">
        <v>1</v>
      </c>
      <c r="J162">
        <v>33</v>
      </c>
      <c r="K162" t="s">
        <v>21</v>
      </c>
      <c r="L162" t="str">
        <f xml:space="preserve"> IF(AND(Customer_Table[[#This Row],[Days Since Last Purchase]]&gt;21,Customer_Table[[#This Row],[Satisfaction Level]] = "Unsatisfied"), "At Risk", "Low Risk")</f>
        <v>At Risk</v>
      </c>
      <c r="M162" t="str">
        <f t="shared" si="2"/>
        <v>31-35</v>
      </c>
      <c r="N162" t="str">
        <f xml:space="preserve"> IF(Customer_Table[[#This Row],[Total Spend]] &gt;= 1000, "High", IF(Customer_Table[[#This Row],[Total Spend]]&gt;= 600, "Medium", "Low"))</f>
        <v>Medium</v>
      </c>
      <c r="O16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63" spans="1:15" x14ac:dyDescent="0.25">
      <c r="A163" s="1">
        <v>262</v>
      </c>
      <c r="B163" t="s">
        <v>11</v>
      </c>
      <c r="C163">
        <v>36</v>
      </c>
      <c r="D163" t="s">
        <v>24</v>
      </c>
      <c r="E163" t="s">
        <v>20</v>
      </c>
      <c r="F163" s="3">
        <v>460.5</v>
      </c>
      <c r="G163">
        <v>8</v>
      </c>
      <c r="H163">
        <v>3.1</v>
      </c>
      <c r="I163" s="1" t="b">
        <v>0</v>
      </c>
      <c r="J163">
        <v>19</v>
      </c>
      <c r="K163" t="s">
        <v>18</v>
      </c>
      <c r="L163" t="str">
        <f xml:space="preserve"> IF(AND(Customer_Table[[#This Row],[Days Since Last Purchase]]&gt;21,Customer_Table[[#This Row],[Satisfaction Level]] = "Unsatisfied"), "At Risk", "Low Risk")</f>
        <v>Low Risk</v>
      </c>
      <c r="M163" t="str">
        <f t="shared" si="2"/>
        <v>36-40</v>
      </c>
      <c r="N163" t="str">
        <f xml:space="preserve"> IF(Customer_Table[[#This Row],[Total Spend]] &gt;= 1000, "High", IF(Customer_Table[[#This Row],[Total Spend]]&gt;= 600, "Medium", "Low"))</f>
        <v>Low</v>
      </c>
      <c r="O16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64" spans="1:15" x14ac:dyDescent="0.25">
      <c r="A164" s="1">
        <v>263</v>
      </c>
      <c r="B164" t="s">
        <v>11</v>
      </c>
      <c r="C164">
        <v>30</v>
      </c>
      <c r="D164" t="s">
        <v>12</v>
      </c>
      <c r="E164" t="s">
        <v>13</v>
      </c>
      <c r="F164" s="3">
        <v>1190.8</v>
      </c>
      <c r="G164">
        <v>16</v>
      </c>
      <c r="H164">
        <v>4.5</v>
      </c>
      <c r="I164" s="1" t="b">
        <v>1</v>
      </c>
      <c r="J164">
        <v>20</v>
      </c>
      <c r="K164" t="s">
        <v>14</v>
      </c>
      <c r="L164" t="str">
        <f xml:space="preserve"> IF(AND(Customer_Table[[#This Row],[Days Since Last Purchase]]&gt;21,Customer_Table[[#This Row],[Satisfaction Level]] = "Unsatisfied"), "At Risk", "Low Risk")</f>
        <v>Low Risk</v>
      </c>
      <c r="M164" t="str">
        <f t="shared" si="2"/>
        <v>26-30</v>
      </c>
      <c r="N164" t="str">
        <f xml:space="preserve"> IF(Customer_Table[[#This Row],[Total Spend]] &gt;= 1000, "High", IF(Customer_Table[[#This Row],[Total Spend]]&gt;= 600, "Medium", "Low"))</f>
        <v>High</v>
      </c>
      <c r="O16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65" spans="1:15" x14ac:dyDescent="0.25">
      <c r="A165" s="1">
        <v>264</v>
      </c>
      <c r="B165" t="s">
        <v>15</v>
      </c>
      <c r="C165">
        <v>33</v>
      </c>
      <c r="D165" t="s">
        <v>16</v>
      </c>
      <c r="E165" t="s">
        <v>17</v>
      </c>
      <c r="F165" s="3">
        <v>830.75</v>
      </c>
      <c r="G165">
        <v>13</v>
      </c>
      <c r="H165">
        <v>4.2</v>
      </c>
      <c r="I165" s="1" t="b">
        <v>0</v>
      </c>
      <c r="J165">
        <v>14</v>
      </c>
      <c r="K165" t="s">
        <v>14</v>
      </c>
      <c r="L165" t="str">
        <f xml:space="preserve"> IF(AND(Customer_Table[[#This Row],[Days Since Last Purchase]]&gt;21,Customer_Table[[#This Row],[Satisfaction Level]] = "Unsatisfied"), "At Risk", "Low Risk")</f>
        <v>Low Risk</v>
      </c>
      <c r="M165" t="str">
        <f t="shared" si="2"/>
        <v>31-35</v>
      </c>
      <c r="N165" t="str">
        <f xml:space="preserve"> IF(Customer_Table[[#This Row],[Total Spend]] &gt;= 1000, "High", IF(Customer_Table[[#This Row],[Total Spend]]&gt;= 600, "Medium", "Low"))</f>
        <v>Medium</v>
      </c>
      <c r="O16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66" spans="1:15" x14ac:dyDescent="0.25">
      <c r="A166" s="1">
        <v>265</v>
      </c>
      <c r="B166" t="s">
        <v>11</v>
      </c>
      <c r="C166">
        <v>42</v>
      </c>
      <c r="D166" t="s">
        <v>19</v>
      </c>
      <c r="E166" t="s">
        <v>20</v>
      </c>
      <c r="F166" s="3">
        <v>520.4</v>
      </c>
      <c r="G166">
        <v>9</v>
      </c>
      <c r="H166">
        <v>3.5</v>
      </c>
      <c r="I166" s="1" t="b">
        <v>1</v>
      </c>
      <c r="J166">
        <v>37</v>
      </c>
      <c r="K166" t="s">
        <v>21</v>
      </c>
      <c r="L166" t="str">
        <f xml:space="preserve"> IF(AND(Customer_Table[[#This Row],[Days Since Last Purchase]]&gt;21,Customer_Table[[#This Row],[Satisfaction Level]] = "Unsatisfied"), "At Risk", "Low Risk")</f>
        <v>At Risk</v>
      </c>
      <c r="M166" t="str">
        <f t="shared" si="2"/>
        <v>41-43</v>
      </c>
      <c r="N166" t="str">
        <f xml:space="preserve"> IF(Customer_Table[[#This Row],[Total Spend]] &gt;= 1000, "High", IF(Customer_Table[[#This Row],[Total Spend]]&gt;= 600, "Medium", "Low"))</f>
        <v>Low</v>
      </c>
      <c r="O16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67" spans="1:15" x14ac:dyDescent="0.25">
      <c r="A167" s="1">
        <v>266</v>
      </c>
      <c r="B167" t="s">
        <v>15</v>
      </c>
      <c r="C167">
        <v>29</v>
      </c>
      <c r="D167" t="s">
        <v>22</v>
      </c>
      <c r="E167" t="s">
        <v>13</v>
      </c>
      <c r="F167" s="3">
        <v>1370.2</v>
      </c>
      <c r="G167">
        <v>18</v>
      </c>
      <c r="H167">
        <v>4.7</v>
      </c>
      <c r="I167" s="1" t="b">
        <v>0</v>
      </c>
      <c r="J167">
        <v>10</v>
      </c>
      <c r="K167" t="s">
        <v>14</v>
      </c>
      <c r="L167" t="str">
        <f xml:space="preserve"> IF(AND(Customer_Table[[#This Row],[Days Since Last Purchase]]&gt;21,Customer_Table[[#This Row],[Satisfaction Level]] = "Unsatisfied"), "At Risk", "Low Risk")</f>
        <v>Low Risk</v>
      </c>
      <c r="M167" t="str">
        <f t="shared" si="2"/>
        <v>26-30</v>
      </c>
      <c r="N167" t="str">
        <f xml:space="preserve"> IF(Customer_Table[[#This Row],[Total Spend]] &gt;= 1000, "High", IF(Customer_Table[[#This Row],[Total Spend]]&gt;= 600, "Medium", "Low"))</f>
        <v>High</v>
      </c>
      <c r="O16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68" spans="1:15" x14ac:dyDescent="0.25">
      <c r="A168" s="1">
        <v>267</v>
      </c>
      <c r="B168" t="s">
        <v>15</v>
      </c>
      <c r="C168">
        <v>26</v>
      </c>
      <c r="D168" t="s">
        <v>23</v>
      </c>
      <c r="E168" t="s">
        <v>17</v>
      </c>
      <c r="F168" s="3">
        <v>690.6</v>
      </c>
      <c r="G168">
        <v>12</v>
      </c>
      <c r="H168">
        <v>3.9</v>
      </c>
      <c r="I168" s="1" t="b">
        <v>1</v>
      </c>
      <c r="J168">
        <v>47</v>
      </c>
      <c r="K168" t="s">
        <v>21</v>
      </c>
      <c r="L168" t="str">
        <f xml:space="preserve"> IF(AND(Customer_Table[[#This Row],[Days Since Last Purchase]]&gt;21,Customer_Table[[#This Row],[Satisfaction Level]] = "Unsatisfied"), "At Risk", "Low Risk")</f>
        <v>At Risk</v>
      </c>
      <c r="M168" t="str">
        <f t="shared" si="2"/>
        <v>26-30</v>
      </c>
      <c r="N168" t="str">
        <f xml:space="preserve"> IF(Customer_Table[[#This Row],[Total Spend]] &gt;= 1000, "High", IF(Customer_Table[[#This Row],[Total Spend]]&gt;= 600, "Medium", "Low"))</f>
        <v>Medium</v>
      </c>
      <c r="O16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169" spans="1:15" x14ac:dyDescent="0.25">
      <c r="A169" s="1">
        <v>268</v>
      </c>
      <c r="B169" t="s">
        <v>11</v>
      </c>
      <c r="C169">
        <v>38</v>
      </c>
      <c r="D169" t="s">
        <v>24</v>
      </c>
      <c r="E169" t="s">
        <v>20</v>
      </c>
      <c r="F169" s="3">
        <v>440.9</v>
      </c>
      <c r="G169">
        <v>8</v>
      </c>
      <c r="H169">
        <v>3.2</v>
      </c>
      <c r="I169" s="1" t="b">
        <v>0</v>
      </c>
      <c r="J169">
        <v>24</v>
      </c>
      <c r="K169" t="s">
        <v>18</v>
      </c>
      <c r="L169" t="str">
        <f xml:space="preserve"> IF(AND(Customer_Table[[#This Row],[Days Since Last Purchase]]&gt;21,Customer_Table[[#This Row],[Satisfaction Level]] = "Unsatisfied"), "At Risk", "Low Risk")</f>
        <v>Low Risk</v>
      </c>
      <c r="M169" t="str">
        <f t="shared" si="2"/>
        <v>36-40</v>
      </c>
      <c r="N169" t="str">
        <f xml:space="preserve"> IF(Customer_Table[[#This Row],[Total Spend]] &gt;= 1000, "High", IF(Customer_Table[[#This Row],[Total Spend]]&gt;= 600, "Medium", "Low"))</f>
        <v>Low</v>
      </c>
      <c r="O16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70" spans="1:15" x14ac:dyDescent="0.25">
      <c r="A170" s="1">
        <v>269</v>
      </c>
      <c r="B170" t="s">
        <v>11</v>
      </c>
      <c r="C170">
        <v>32</v>
      </c>
      <c r="D170" t="s">
        <v>12</v>
      </c>
      <c r="E170" t="s">
        <v>13</v>
      </c>
      <c r="F170" s="3">
        <v>1160.3</v>
      </c>
      <c r="G170">
        <v>14</v>
      </c>
      <c r="H170">
        <v>4.4000000000000004</v>
      </c>
      <c r="I170" s="1" t="b">
        <v>1</v>
      </c>
      <c r="J170">
        <v>22</v>
      </c>
      <c r="K170" t="s">
        <v>14</v>
      </c>
      <c r="L170" t="str">
        <f xml:space="preserve"> IF(AND(Customer_Table[[#This Row],[Days Since Last Purchase]]&gt;21,Customer_Table[[#This Row],[Satisfaction Level]] = "Unsatisfied"), "At Risk", "Low Risk")</f>
        <v>Low Risk</v>
      </c>
      <c r="M170" t="str">
        <f t="shared" si="2"/>
        <v>31-35</v>
      </c>
      <c r="N170" t="str">
        <f xml:space="preserve"> IF(Customer_Table[[#This Row],[Total Spend]] &gt;= 1000, "High", IF(Customer_Table[[#This Row],[Total Spend]]&gt;= 600, "Medium", "Low"))</f>
        <v>High</v>
      </c>
      <c r="O17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71" spans="1:15" x14ac:dyDescent="0.25">
      <c r="A171" s="1">
        <v>270</v>
      </c>
      <c r="B171" t="s">
        <v>15</v>
      </c>
      <c r="C171">
        <v>34</v>
      </c>
      <c r="D171" t="s">
        <v>16</v>
      </c>
      <c r="E171" t="s">
        <v>17</v>
      </c>
      <c r="F171" s="3">
        <v>800.2</v>
      </c>
      <c r="G171">
        <v>11</v>
      </c>
      <c r="H171">
        <v>4.0999999999999996</v>
      </c>
      <c r="I171" s="1" t="b">
        <v>0</v>
      </c>
      <c r="J171">
        <v>17</v>
      </c>
      <c r="K171" t="s">
        <v>18</v>
      </c>
      <c r="L171" t="str">
        <f xml:space="preserve"> IF(AND(Customer_Table[[#This Row],[Days Since Last Purchase]]&gt;21,Customer_Table[[#This Row],[Satisfaction Level]] = "Unsatisfied"), "At Risk", "Low Risk")</f>
        <v>Low Risk</v>
      </c>
      <c r="M171" t="str">
        <f t="shared" si="2"/>
        <v>31-35</v>
      </c>
      <c r="N171" t="str">
        <f xml:space="preserve"> IF(Customer_Table[[#This Row],[Total Spend]] &gt;= 1000, "High", IF(Customer_Table[[#This Row],[Total Spend]]&gt;= 600, "Medium", "Low"))</f>
        <v>Medium</v>
      </c>
      <c r="O17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72" spans="1:15" x14ac:dyDescent="0.25">
      <c r="A172" s="1">
        <v>271</v>
      </c>
      <c r="B172" t="s">
        <v>11</v>
      </c>
      <c r="C172">
        <v>43</v>
      </c>
      <c r="D172" t="s">
        <v>19</v>
      </c>
      <c r="E172" t="s">
        <v>20</v>
      </c>
      <c r="F172" s="3">
        <v>500.75</v>
      </c>
      <c r="G172">
        <v>10</v>
      </c>
      <c r="H172">
        <v>3.3</v>
      </c>
      <c r="I172" s="1" t="b">
        <v>1</v>
      </c>
      <c r="J172">
        <v>40</v>
      </c>
      <c r="K172" t="s">
        <v>21</v>
      </c>
      <c r="L172" t="str">
        <f xml:space="preserve"> IF(AND(Customer_Table[[#This Row],[Days Since Last Purchase]]&gt;21,Customer_Table[[#This Row],[Satisfaction Level]] = "Unsatisfied"), "At Risk", "Low Risk")</f>
        <v>At Risk</v>
      </c>
      <c r="M172" t="str">
        <f t="shared" si="2"/>
        <v>41-43</v>
      </c>
      <c r="N172" t="str">
        <f xml:space="preserve"> IF(Customer_Table[[#This Row],[Total Spend]] &gt;= 1000, "High", IF(Customer_Table[[#This Row],[Total Spend]]&gt;= 600, "Medium", "Low"))</f>
        <v>Low</v>
      </c>
      <c r="O17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73" spans="1:15" x14ac:dyDescent="0.25">
      <c r="A173" s="1">
        <v>272</v>
      </c>
      <c r="B173" t="s">
        <v>15</v>
      </c>
      <c r="C173">
        <v>30</v>
      </c>
      <c r="D173" t="s">
        <v>22</v>
      </c>
      <c r="E173" t="s">
        <v>13</v>
      </c>
      <c r="F173" s="3">
        <v>1460.5</v>
      </c>
      <c r="G173">
        <v>20</v>
      </c>
      <c r="H173">
        <v>4.8</v>
      </c>
      <c r="I173" s="1" t="b">
        <v>0</v>
      </c>
      <c r="J173">
        <v>12</v>
      </c>
      <c r="K173" t="s">
        <v>14</v>
      </c>
      <c r="L173" t="str">
        <f xml:space="preserve"> IF(AND(Customer_Table[[#This Row],[Days Since Last Purchase]]&gt;21,Customer_Table[[#This Row],[Satisfaction Level]] = "Unsatisfied"), "At Risk", "Low Risk")</f>
        <v>Low Risk</v>
      </c>
      <c r="M173" t="str">
        <f t="shared" si="2"/>
        <v>26-30</v>
      </c>
      <c r="N173" t="str">
        <f xml:space="preserve"> IF(Customer_Table[[#This Row],[Total Spend]] &gt;= 1000, "High", IF(Customer_Table[[#This Row],[Total Spend]]&gt;= 600, "Medium", "Low"))</f>
        <v>High</v>
      </c>
      <c r="O17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74" spans="1:15" x14ac:dyDescent="0.25">
      <c r="A174" s="1">
        <v>273</v>
      </c>
      <c r="B174" t="s">
        <v>15</v>
      </c>
      <c r="C174">
        <v>27</v>
      </c>
      <c r="D174" t="s">
        <v>23</v>
      </c>
      <c r="E174" t="s">
        <v>17</v>
      </c>
      <c r="F174" s="3">
        <v>700.4</v>
      </c>
      <c r="G174">
        <v>13</v>
      </c>
      <c r="H174">
        <v>4</v>
      </c>
      <c r="I174" s="1" t="b">
        <v>1</v>
      </c>
      <c r="J174">
        <v>53</v>
      </c>
      <c r="K174" t="s">
        <v>21</v>
      </c>
      <c r="L174" t="str">
        <f xml:space="preserve"> IF(AND(Customer_Table[[#This Row],[Days Since Last Purchase]]&gt;21,Customer_Table[[#This Row],[Satisfaction Level]] = "Unsatisfied"), "At Risk", "Low Risk")</f>
        <v>At Risk</v>
      </c>
      <c r="M174" t="str">
        <f t="shared" si="2"/>
        <v>26-30</v>
      </c>
      <c r="N174" t="str">
        <f xml:space="preserve"> IF(Customer_Table[[#This Row],[Total Spend]] &gt;= 1000, "High", IF(Customer_Table[[#This Row],[Total Spend]]&gt;= 600, "Medium", "Low"))</f>
        <v>Medium</v>
      </c>
      <c r="O17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75" spans="1:15" x14ac:dyDescent="0.25">
      <c r="A175" s="1">
        <v>274</v>
      </c>
      <c r="B175" t="s">
        <v>11</v>
      </c>
      <c r="C175">
        <v>37</v>
      </c>
      <c r="D175" t="s">
        <v>24</v>
      </c>
      <c r="E175" t="s">
        <v>20</v>
      </c>
      <c r="F175" s="3">
        <v>430.8</v>
      </c>
      <c r="G175">
        <v>7</v>
      </c>
      <c r="H175">
        <v>3.4</v>
      </c>
      <c r="I175" s="1" t="b">
        <v>0</v>
      </c>
      <c r="J175">
        <v>23</v>
      </c>
      <c r="K175" t="s">
        <v>18</v>
      </c>
      <c r="L175" t="str">
        <f xml:space="preserve"> IF(AND(Customer_Table[[#This Row],[Days Since Last Purchase]]&gt;21,Customer_Table[[#This Row],[Satisfaction Level]] = "Unsatisfied"), "At Risk", "Low Risk")</f>
        <v>Low Risk</v>
      </c>
      <c r="M175" t="str">
        <f t="shared" si="2"/>
        <v>36-40</v>
      </c>
      <c r="N175" t="str">
        <f xml:space="preserve"> IF(Customer_Table[[#This Row],[Total Spend]] &gt;= 1000, "High", IF(Customer_Table[[#This Row],[Total Spend]]&gt;= 600, "Medium", "Low"))</f>
        <v>Low</v>
      </c>
      <c r="O17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76" spans="1:15" x14ac:dyDescent="0.25">
      <c r="A176" s="1">
        <v>275</v>
      </c>
      <c r="B176" t="s">
        <v>11</v>
      </c>
      <c r="C176">
        <v>31</v>
      </c>
      <c r="D176" t="s">
        <v>12</v>
      </c>
      <c r="E176" t="s">
        <v>13</v>
      </c>
      <c r="F176" s="3">
        <v>1140.5999999999999</v>
      </c>
      <c r="G176">
        <v>15</v>
      </c>
      <c r="H176">
        <v>4.5</v>
      </c>
      <c r="I176" s="1" t="b">
        <v>1</v>
      </c>
      <c r="J176">
        <v>27</v>
      </c>
      <c r="K176" t="s">
        <v>14</v>
      </c>
      <c r="L176" t="str">
        <f xml:space="preserve"> IF(AND(Customer_Table[[#This Row],[Days Since Last Purchase]]&gt;21,Customer_Table[[#This Row],[Satisfaction Level]] = "Unsatisfied"), "At Risk", "Low Risk")</f>
        <v>Low Risk</v>
      </c>
      <c r="M176" t="str">
        <f t="shared" si="2"/>
        <v>31-35</v>
      </c>
      <c r="N176" t="str">
        <f xml:space="preserve"> IF(Customer_Table[[#This Row],[Total Spend]] &gt;= 1000, "High", IF(Customer_Table[[#This Row],[Total Spend]]&gt;= 600, "Medium", "Low"))</f>
        <v>High</v>
      </c>
      <c r="O17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77" spans="1:15" x14ac:dyDescent="0.25">
      <c r="A177" s="1">
        <v>276</v>
      </c>
      <c r="B177" t="s">
        <v>15</v>
      </c>
      <c r="C177">
        <v>35</v>
      </c>
      <c r="D177" t="s">
        <v>16</v>
      </c>
      <c r="E177" t="s">
        <v>17</v>
      </c>
      <c r="F177" s="3">
        <v>820.9</v>
      </c>
      <c r="G177">
        <v>12</v>
      </c>
      <c r="H177">
        <v>4.3</v>
      </c>
      <c r="I177" s="1" t="b">
        <v>0</v>
      </c>
      <c r="J177">
        <v>12</v>
      </c>
      <c r="K177" t="s">
        <v>18</v>
      </c>
      <c r="L177" t="str">
        <f xml:space="preserve"> IF(AND(Customer_Table[[#This Row],[Days Since Last Purchase]]&gt;21,Customer_Table[[#This Row],[Satisfaction Level]] = "Unsatisfied"), "At Risk", "Low Risk")</f>
        <v>Low Risk</v>
      </c>
      <c r="M177" t="str">
        <f t="shared" si="2"/>
        <v>31-35</v>
      </c>
      <c r="N177" t="str">
        <f xml:space="preserve"> IF(Customer_Table[[#This Row],[Total Spend]] &gt;= 1000, "High", IF(Customer_Table[[#This Row],[Total Spend]]&gt;= 600, "Medium", "Low"))</f>
        <v>Medium</v>
      </c>
      <c r="O17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78" spans="1:15" x14ac:dyDescent="0.25">
      <c r="A178" s="1">
        <v>277</v>
      </c>
      <c r="B178" t="s">
        <v>11</v>
      </c>
      <c r="C178">
        <v>41</v>
      </c>
      <c r="D178" t="s">
        <v>19</v>
      </c>
      <c r="E178" t="s">
        <v>20</v>
      </c>
      <c r="F178" s="3">
        <v>480.25</v>
      </c>
      <c r="G178">
        <v>9</v>
      </c>
      <c r="H178">
        <v>3.6</v>
      </c>
      <c r="I178" s="1" t="b">
        <v>1</v>
      </c>
      <c r="J178">
        <v>38</v>
      </c>
      <c r="K178" t="s">
        <v>21</v>
      </c>
      <c r="L178" t="str">
        <f xml:space="preserve"> IF(AND(Customer_Table[[#This Row],[Days Since Last Purchase]]&gt;21,Customer_Table[[#This Row],[Satisfaction Level]] = "Unsatisfied"), "At Risk", "Low Risk")</f>
        <v>At Risk</v>
      </c>
      <c r="M178" t="str">
        <f t="shared" si="2"/>
        <v>41-43</v>
      </c>
      <c r="N178" t="str">
        <f xml:space="preserve"> IF(Customer_Table[[#This Row],[Total Spend]] &gt;= 1000, "High", IF(Customer_Table[[#This Row],[Total Spend]]&gt;= 600, "Medium", "Low"))</f>
        <v>Low</v>
      </c>
      <c r="O17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79" spans="1:15" x14ac:dyDescent="0.25">
      <c r="A179" s="1">
        <v>278</v>
      </c>
      <c r="B179" t="s">
        <v>15</v>
      </c>
      <c r="C179">
        <v>28</v>
      </c>
      <c r="D179" t="s">
        <v>22</v>
      </c>
      <c r="E179" t="s">
        <v>13</v>
      </c>
      <c r="F179" s="3">
        <v>1490.1</v>
      </c>
      <c r="G179">
        <v>21</v>
      </c>
      <c r="H179">
        <v>4.9000000000000004</v>
      </c>
      <c r="I179" s="1" t="b">
        <v>0</v>
      </c>
      <c r="J179">
        <v>9</v>
      </c>
      <c r="K179" t="s">
        <v>14</v>
      </c>
      <c r="L179" t="str">
        <f xml:space="preserve"> IF(AND(Customer_Table[[#This Row],[Days Since Last Purchase]]&gt;21,Customer_Table[[#This Row],[Satisfaction Level]] = "Unsatisfied"), "At Risk", "Low Risk")</f>
        <v>Low Risk</v>
      </c>
      <c r="M179" t="str">
        <f t="shared" si="2"/>
        <v>26-30</v>
      </c>
      <c r="N179" t="str">
        <f xml:space="preserve"> IF(Customer_Table[[#This Row],[Total Spend]] &gt;= 1000, "High", IF(Customer_Table[[#This Row],[Total Spend]]&gt;= 600, "Medium", "Low"))</f>
        <v>High</v>
      </c>
      <c r="O17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80" spans="1:15" x14ac:dyDescent="0.25">
      <c r="A180" s="1">
        <v>279</v>
      </c>
      <c r="B180" t="s">
        <v>15</v>
      </c>
      <c r="C180">
        <v>32</v>
      </c>
      <c r="D180" t="s">
        <v>23</v>
      </c>
      <c r="E180" t="s">
        <v>17</v>
      </c>
      <c r="F180" s="3">
        <v>680.3</v>
      </c>
      <c r="G180">
        <v>10</v>
      </c>
      <c r="H180">
        <v>3.8</v>
      </c>
      <c r="I180" s="1" t="b">
        <v>1</v>
      </c>
      <c r="J180">
        <v>32</v>
      </c>
      <c r="K180" t="s">
        <v>21</v>
      </c>
      <c r="L180" t="str">
        <f xml:space="preserve"> IF(AND(Customer_Table[[#This Row],[Days Since Last Purchase]]&gt;21,Customer_Table[[#This Row],[Satisfaction Level]] = "Unsatisfied"), "At Risk", "Low Risk")</f>
        <v>At Risk</v>
      </c>
      <c r="M180" t="str">
        <f t="shared" si="2"/>
        <v>31-35</v>
      </c>
      <c r="N180" t="str">
        <f xml:space="preserve"> IF(Customer_Table[[#This Row],[Total Spend]] &gt;= 1000, "High", IF(Customer_Table[[#This Row],[Total Spend]]&gt;= 600, "Medium", "Low"))</f>
        <v>Medium</v>
      </c>
      <c r="O18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81" spans="1:15" x14ac:dyDescent="0.25">
      <c r="A181" s="1">
        <v>280</v>
      </c>
      <c r="B181" t="s">
        <v>11</v>
      </c>
      <c r="C181">
        <v>36</v>
      </c>
      <c r="D181" t="s">
        <v>24</v>
      </c>
      <c r="E181" t="s">
        <v>20</v>
      </c>
      <c r="F181" s="3">
        <v>470.5</v>
      </c>
      <c r="G181">
        <v>8</v>
      </c>
      <c r="H181">
        <v>3</v>
      </c>
      <c r="I181" s="1" t="b">
        <v>0</v>
      </c>
      <c r="J181">
        <v>18</v>
      </c>
      <c r="K181" t="s">
        <v>18</v>
      </c>
      <c r="L181" t="str">
        <f xml:space="preserve"> IF(AND(Customer_Table[[#This Row],[Days Since Last Purchase]]&gt;21,Customer_Table[[#This Row],[Satisfaction Level]] = "Unsatisfied"), "At Risk", "Low Risk")</f>
        <v>Low Risk</v>
      </c>
      <c r="M181" t="str">
        <f t="shared" si="2"/>
        <v>36-40</v>
      </c>
      <c r="N181" t="str">
        <f xml:space="preserve"> IF(Customer_Table[[#This Row],[Total Spend]] &gt;= 1000, "High", IF(Customer_Table[[#This Row],[Total Spend]]&gt;= 600, "Medium", "Low"))</f>
        <v>Low</v>
      </c>
      <c r="O18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82" spans="1:15" x14ac:dyDescent="0.25">
      <c r="A182" s="1">
        <v>281</v>
      </c>
      <c r="B182" t="s">
        <v>11</v>
      </c>
      <c r="C182">
        <v>30</v>
      </c>
      <c r="D182" t="s">
        <v>12</v>
      </c>
      <c r="E182" t="s">
        <v>13</v>
      </c>
      <c r="F182" s="3">
        <v>1180.8</v>
      </c>
      <c r="G182">
        <v>16</v>
      </c>
      <c r="H182">
        <v>4.7</v>
      </c>
      <c r="I182" s="1" t="b">
        <v>1</v>
      </c>
      <c r="J182">
        <v>19</v>
      </c>
      <c r="K182" t="s">
        <v>14</v>
      </c>
      <c r="L182" t="str">
        <f xml:space="preserve"> IF(AND(Customer_Table[[#This Row],[Days Since Last Purchase]]&gt;21,Customer_Table[[#This Row],[Satisfaction Level]] = "Unsatisfied"), "At Risk", "Low Risk")</f>
        <v>Low Risk</v>
      </c>
      <c r="M182" t="str">
        <f t="shared" si="2"/>
        <v>26-30</v>
      </c>
      <c r="N182" t="str">
        <f xml:space="preserve"> IF(Customer_Table[[#This Row],[Total Spend]] &gt;= 1000, "High", IF(Customer_Table[[#This Row],[Total Spend]]&gt;= 600, "Medium", "Low"))</f>
        <v>High</v>
      </c>
      <c r="O18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83" spans="1:15" x14ac:dyDescent="0.25">
      <c r="A183" s="1">
        <v>282</v>
      </c>
      <c r="B183" t="s">
        <v>15</v>
      </c>
      <c r="C183">
        <v>34</v>
      </c>
      <c r="D183" t="s">
        <v>16</v>
      </c>
      <c r="E183" t="s">
        <v>17</v>
      </c>
      <c r="F183" s="3">
        <v>790.2</v>
      </c>
      <c r="G183">
        <v>11</v>
      </c>
      <c r="H183">
        <v>4</v>
      </c>
      <c r="I183" s="1" t="b">
        <v>0</v>
      </c>
      <c r="J183">
        <v>15</v>
      </c>
      <c r="K183" t="s">
        <v>18</v>
      </c>
      <c r="L183" t="str">
        <f xml:space="preserve"> IF(AND(Customer_Table[[#This Row],[Days Since Last Purchase]]&gt;21,Customer_Table[[#This Row],[Satisfaction Level]] = "Unsatisfied"), "At Risk", "Low Risk")</f>
        <v>Low Risk</v>
      </c>
      <c r="M183" t="str">
        <f t="shared" si="2"/>
        <v>31-35</v>
      </c>
      <c r="N183" t="str">
        <f xml:space="preserve"> IF(Customer_Table[[#This Row],[Total Spend]] &gt;= 1000, "High", IF(Customer_Table[[#This Row],[Total Spend]]&gt;= 600, "Medium", "Low"))</f>
        <v>Medium</v>
      </c>
      <c r="O18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84" spans="1:15" x14ac:dyDescent="0.25">
      <c r="A184" s="1">
        <v>283</v>
      </c>
      <c r="B184" t="s">
        <v>11</v>
      </c>
      <c r="C184">
        <v>43</v>
      </c>
      <c r="D184" t="s">
        <v>19</v>
      </c>
      <c r="E184" t="s">
        <v>20</v>
      </c>
      <c r="F184" s="3">
        <v>505.75</v>
      </c>
      <c r="G184">
        <v>10</v>
      </c>
      <c r="H184">
        <v>3.3</v>
      </c>
      <c r="I184" s="1" t="b">
        <v>1</v>
      </c>
      <c r="J184">
        <v>39</v>
      </c>
      <c r="K184" t="s">
        <v>21</v>
      </c>
      <c r="L184" t="str">
        <f xml:space="preserve"> IF(AND(Customer_Table[[#This Row],[Days Since Last Purchase]]&gt;21,Customer_Table[[#This Row],[Satisfaction Level]] = "Unsatisfied"), "At Risk", "Low Risk")</f>
        <v>At Risk</v>
      </c>
      <c r="M184" t="str">
        <f t="shared" si="2"/>
        <v>41-43</v>
      </c>
      <c r="N184" t="str">
        <f xml:space="preserve"> IF(Customer_Table[[#This Row],[Total Spend]] &gt;= 1000, "High", IF(Customer_Table[[#This Row],[Total Spend]]&gt;= 600, "Medium", "Low"))</f>
        <v>Low</v>
      </c>
      <c r="O18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85" spans="1:15" x14ac:dyDescent="0.25">
      <c r="A185" s="1">
        <v>284</v>
      </c>
      <c r="B185" t="s">
        <v>15</v>
      </c>
      <c r="C185">
        <v>30</v>
      </c>
      <c r="D185" t="s">
        <v>22</v>
      </c>
      <c r="E185" t="s">
        <v>13</v>
      </c>
      <c r="F185" s="3">
        <v>1470.5</v>
      </c>
      <c r="G185">
        <v>20</v>
      </c>
      <c r="H185">
        <v>4.8</v>
      </c>
      <c r="I185" s="1" t="b">
        <v>0</v>
      </c>
      <c r="J185">
        <v>13</v>
      </c>
      <c r="K185" t="s">
        <v>14</v>
      </c>
      <c r="L185" t="str">
        <f xml:space="preserve"> IF(AND(Customer_Table[[#This Row],[Days Since Last Purchase]]&gt;21,Customer_Table[[#This Row],[Satisfaction Level]] = "Unsatisfied"), "At Risk", "Low Risk")</f>
        <v>Low Risk</v>
      </c>
      <c r="M185" t="str">
        <f t="shared" si="2"/>
        <v>26-30</v>
      </c>
      <c r="N185" t="str">
        <f xml:space="preserve"> IF(Customer_Table[[#This Row],[Total Spend]] &gt;= 1000, "High", IF(Customer_Table[[#This Row],[Total Spend]]&gt;= 600, "Medium", "Low"))</f>
        <v>High</v>
      </c>
      <c r="O18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86" spans="1:15" x14ac:dyDescent="0.25">
      <c r="A186" s="1">
        <v>285</v>
      </c>
      <c r="B186" t="s">
        <v>15</v>
      </c>
      <c r="C186">
        <v>27</v>
      </c>
      <c r="D186" t="s">
        <v>23</v>
      </c>
      <c r="E186" t="s">
        <v>17</v>
      </c>
      <c r="F186" s="3">
        <v>710.4</v>
      </c>
      <c r="G186">
        <v>13</v>
      </c>
      <c r="H186">
        <v>4.0999999999999996</v>
      </c>
      <c r="I186" s="1" t="b">
        <v>1</v>
      </c>
      <c r="J186">
        <v>54</v>
      </c>
      <c r="K186" t="s">
        <v>21</v>
      </c>
      <c r="L186" t="str">
        <f xml:space="preserve"> IF(AND(Customer_Table[[#This Row],[Days Since Last Purchase]]&gt;21,Customer_Table[[#This Row],[Satisfaction Level]] = "Unsatisfied"), "At Risk", "Low Risk")</f>
        <v>At Risk</v>
      </c>
      <c r="M186" t="str">
        <f t="shared" si="2"/>
        <v>26-30</v>
      </c>
      <c r="N186" t="str">
        <f xml:space="preserve"> IF(Customer_Table[[#This Row],[Total Spend]] &gt;= 1000, "High", IF(Customer_Table[[#This Row],[Total Spend]]&gt;= 600, "Medium", "Low"))</f>
        <v>Medium</v>
      </c>
      <c r="O18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187" spans="1:15" x14ac:dyDescent="0.25">
      <c r="A187" s="1">
        <v>286</v>
      </c>
      <c r="B187" t="s">
        <v>11</v>
      </c>
      <c r="C187">
        <v>37</v>
      </c>
      <c r="D187" t="s">
        <v>24</v>
      </c>
      <c r="E187" t="s">
        <v>20</v>
      </c>
      <c r="F187" s="3">
        <v>430.8</v>
      </c>
      <c r="G187">
        <v>7</v>
      </c>
      <c r="H187">
        <v>3.4</v>
      </c>
      <c r="I187" s="1" t="b">
        <v>0</v>
      </c>
      <c r="J187">
        <v>23</v>
      </c>
      <c r="K187" t="s">
        <v>18</v>
      </c>
      <c r="L187" t="str">
        <f xml:space="preserve"> IF(AND(Customer_Table[[#This Row],[Days Since Last Purchase]]&gt;21,Customer_Table[[#This Row],[Satisfaction Level]] = "Unsatisfied"), "At Risk", "Low Risk")</f>
        <v>Low Risk</v>
      </c>
      <c r="M187" t="str">
        <f t="shared" si="2"/>
        <v>36-40</v>
      </c>
      <c r="N187" t="str">
        <f xml:space="preserve"> IF(Customer_Table[[#This Row],[Total Spend]] &gt;= 1000, "High", IF(Customer_Table[[#This Row],[Total Spend]]&gt;= 600, "Medium", "Low"))</f>
        <v>Low</v>
      </c>
      <c r="O18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88" spans="1:15" x14ac:dyDescent="0.25">
      <c r="A188" s="1">
        <v>287</v>
      </c>
      <c r="B188" t="s">
        <v>11</v>
      </c>
      <c r="C188">
        <v>31</v>
      </c>
      <c r="D188" t="s">
        <v>12</v>
      </c>
      <c r="E188" t="s">
        <v>13</v>
      </c>
      <c r="F188" s="3">
        <v>1130.5999999999999</v>
      </c>
      <c r="G188">
        <v>15</v>
      </c>
      <c r="H188">
        <v>4.5</v>
      </c>
      <c r="I188" s="1" t="b">
        <v>1</v>
      </c>
      <c r="J188">
        <v>26</v>
      </c>
      <c r="K188" t="s">
        <v>14</v>
      </c>
      <c r="L188" t="str">
        <f xml:space="preserve"> IF(AND(Customer_Table[[#This Row],[Days Since Last Purchase]]&gt;21,Customer_Table[[#This Row],[Satisfaction Level]] = "Unsatisfied"), "At Risk", "Low Risk")</f>
        <v>Low Risk</v>
      </c>
      <c r="M188" t="str">
        <f t="shared" si="2"/>
        <v>31-35</v>
      </c>
      <c r="N188" t="str">
        <f xml:space="preserve"> IF(Customer_Table[[#This Row],[Total Spend]] &gt;= 1000, "High", IF(Customer_Table[[#This Row],[Total Spend]]&gt;= 600, "Medium", "Low"))</f>
        <v>High</v>
      </c>
      <c r="O18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189" spans="1:15" x14ac:dyDescent="0.25">
      <c r="A189" s="1">
        <v>288</v>
      </c>
      <c r="B189" t="s">
        <v>15</v>
      </c>
      <c r="C189">
        <v>35</v>
      </c>
      <c r="D189" t="s">
        <v>16</v>
      </c>
      <c r="E189" t="s">
        <v>17</v>
      </c>
      <c r="F189" s="3">
        <v>820.9</v>
      </c>
      <c r="G189">
        <v>12</v>
      </c>
      <c r="H189">
        <v>4.3</v>
      </c>
      <c r="I189" s="1" t="b">
        <v>0</v>
      </c>
      <c r="J189">
        <v>13</v>
      </c>
      <c r="K189" t="s">
        <v>18</v>
      </c>
      <c r="L189" t="str">
        <f xml:space="preserve"> IF(AND(Customer_Table[[#This Row],[Days Since Last Purchase]]&gt;21,Customer_Table[[#This Row],[Satisfaction Level]] = "Unsatisfied"), "At Risk", "Low Risk")</f>
        <v>Low Risk</v>
      </c>
      <c r="M189" t="str">
        <f t="shared" si="2"/>
        <v>31-35</v>
      </c>
      <c r="N189" t="str">
        <f xml:space="preserve"> IF(Customer_Table[[#This Row],[Total Spend]] &gt;= 1000, "High", IF(Customer_Table[[#This Row],[Total Spend]]&gt;= 600, "Medium", "Low"))</f>
        <v>Medium</v>
      </c>
      <c r="O18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90" spans="1:15" x14ac:dyDescent="0.25">
      <c r="A190" s="1">
        <v>289</v>
      </c>
      <c r="B190" t="s">
        <v>11</v>
      </c>
      <c r="C190">
        <v>41</v>
      </c>
      <c r="D190" t="s">
        <v>19</v>
      </c>
      <c r="E190" t="s">
        <v>20</v>
      </c>
      <c r="F190" s="3">
        <v>485.25</v>
      </c>
      <c r="G190">
        <v>9</v>
      </c>
      <c r="H190">
        <v>3.6</v>
      </c>
      <c r="I190" s="1" t="b">
        <v>1</v>
      </c>
      <c r="J190">
        <v>39</v>
      </c>
      <c r="K190" t="s">
        <v>21</v>
      </c>
      <c r="L190" t="str">
        <f xml:space="preserve"> IF(AND(Customer_Table[[#This Row],[Days Since Last Purchase]]&gt;21,Customer_Table[[#This Row],[Satisfaction Level]] = "Unsatisfied"), "At Risk", "Low Risk")</f>
        <v>At Risk</v>
      </c>
      <c r="M190" t="str">
        <f t="shared" si="2"/>
        <v>41-43</v>
      </c>
      <c r="N190" t="str">
        <f xml:space="preserve"> IF(Customer_Table[[#This Row],[Total Spend]] &gt;= 1000, "High", IF(Customer_Table[[#This Row],[Total Spend]]&gt;= 600, "Medium", "Low"))</f>
        <v>Low</v>
      </c>
      <c r="O19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91" spans="1:15" x14ac:dyDescent="0.25">
      <c r="A191" s="1">
        <v>290</v>
      </c>
      <c r="B191" t="s">
        <v>15</v>
      </c>
      <c r="C191">
        <v>28</v>
      </c>
      <c r="D191" t="s">
        <v>22</v>
      </c>
      <c r="E191" t="s">
        <v>13</v>
      </c>
      <c r="F191" s="3">
        <v>1500.1</v>
      </c>
      <c r="G191">
        <v>21</v>
      </c>
      <c r="H191">
        <v>4.9000000000000004</v>
      </c>
      <c r="I191" s="1" t="b">
        <v>0</v>
      </c>
      <c r="J191">
        <v>10</v>
      </c>
      <c r="K191" t="s">
        <v>14</v>
      </c>
      <c r="L191" t="str">
        <f xml:space="preserve"> IF(AND(Customer_Table[[#This Row],[Days Since Last Purchase]]&gt;21,Customer_Table[[#This Row],[Satisfaction Level]] = "Unsatisfied"), "At Risk", "Low Risk")</f>
        <v>Low Risk</v>
      </c>
      <c r="M191" t="str">
        <f t="shared" si="2"/>
        <v>26-30</v>
      </c>
      <c r="N191" t="str">
        <f xml:space="preserve"> IF(Customer_Table[[#This Row],[Total Spend]] &gt;= 1000, "High", IF(Customer_Table[[#This Row],[Total Spend]]&gt;= 600, "Medium", "Low"))</f>
        <v>High</v>
      </c>
      <c r="O19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92" spans="1:15" x14ac:dyDescent="0.25">
      <c r="A192" s="1">
        <v>291</v>
      </c>
      <c r="B192" t="s">
        <v>15</v>
      </c>
      <c r="C192">
        <v>32</v>
      </c>
      <c r="D192" t="s">
        <v>23</v>
      </c>
      <c r="E192" t="s">
        <v>17</v>
      </c>
      <c r="F192" s="3">
        <v>670.3</v>
      </c>
      <c r="G192">
        <v>10</v>
      </c>
      <c r="H192">
        <v>3.8</v>
      </c>
      <c r="I192" s="1" t="b">
        <v>1</v>
      </c>
      <c r="J192">
        <v>33</v>
      </c>
      <c r="K192" t="s">
        <v>21</v>
      </c>
      <c r="L192" t="str">
        <f xml:space="preserve"> IF(AND(Customer_Table[[#This Row],[Days Since Last Purchase]]&gt;21,Customer_Table[[#This Row],[Satisfaction Level]] = "Unsatisfied"), "At Risk", "Low Risk")</f>
        <v>At Risk</v>
      </c>
      <c r="M192" t="str">
        <f t="shared" si="2"/>
        <v>31-35</v>
      </c>
      <c r="N192" t="str">
        <f xml:space="preserve"> IF(Customer_Table[[#This Row],[Total Spend]] &gt;= 1000, "High", IF(Customer_Table[[#This Row],[Total Spend]]&gt;= 600, "Medium", "Low"))</f>
        <v>Medium</v>
      </c>
      <c r="O19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193" spans="1:15" x14ac:dyDescent="0.25">
      <c r="A193" s="1">
        <v>292</v>
      </c>
      <c r="B193" t="s">
        <v>11</v>
      </c>
      <c r="C193">
        <v>36</v>
      </c>
      <c r="D193" t="s">
        <v>24</v>
      </c>
      <c r="E193" t="s">
        <v>20</v>
      </c>
      <c r="F193" s="3">
        <v>460.5</v>
      </c>
      <c r="G193">
        <v>8</v>
      </c>
      <c r="H193">
        <v>3.1</v>
      </c>
      <c r="I193" s="1" t="b">
        <v>0</v>
      </c>
      <c r="J193">
        <v>19</v>
      </c>
      <c r="K193" t="s">
        <v>18</v>
      </c>
      <c r="L193" t="str">
        <f xml:space="preserve"> IF(AND(Customer_Table[[#This Row],[Days Since Last Purchase]]&gt;21,Customer_Table[[#This Row],[Satisfaction Level]] = "Unsatisfied"), "At Risk", "Low Risk")</f>
        <v>Low Risk</v>
      </c>
      <c r="M193" t="str">
        <f t="shared" si="2"/>
        <v>36-40</v>
      </c>
      <c r="N193" t="str">
        <f xml:space="preserve"> IF(Customer_Table[[#This Row],[Total Spend]] &gt;= 1000, "High", IF(Customer_Table[[#This Row],[Total Spend]]&gt;= 600, "Medium", "Low"))</f>
        <v>Low</v>
      </c>
      <c r="O19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94" spans="1:15" x14ac:dyDescent="0.25">
      <c r="A194" s="1">
        <v>293</v>
      </c>
      <c r="B194" t="s">
        <v>11</v>
      </c>
      <c r="C194">
        <v>30</v>
      </c>
      <c r="D194" t="s">
        <v>12</v>
      </c>
      <c r="E194" t="s">
        <v>13</v>
      </c>
      <c r="F194" s="3">
        <v>1190.8</v>
      </c>
      <c r="G194">
        <v>16</v>
      </c>
      <c r="H194">
        <v>4.5</v>
      </c>
      <c r="I194" s="1" t="b">
        <v>1</v>
      </c>
      <c r="J194">
        <v>20</v>
      </c>
      <c r="K194" t="s">
        <v>14</v>
      </c>
      <c r="L194" t="str">
        <f xml:space="preserve"> IF(AND(Customer_Table[[#This Row],[Days Since Last Purchase]]&gt;21,Customer_Table[[#This Row],[Satisfaction Level]] = "Unsatisfied"), "At Risk", "Low Risk")</f>
        <v>Low Risk</v>
      </c>
      <c r="M194" t="str">
        <f t="shared" ref="M194:M257" si="3" xml:space="preserve"> IF(C194&lt;=30, "26-30", IF(C194&lt;=35, "31-35", IF(C194&lt;=40, "36-40", "41-43")))</f>
        <v>26-30</v>
      </c>
      <c r="N194" t="str">
        <f xml:space="preserve"> IF(Customer_Table[[#This Row],[Total Spend]] &gt;= 1000, "High", IF(Customer_Table[[#This Row],[Total Spend]]&gt;= 600, "Medium", "Low"))</f>
        <v>High</v>
      </c>
      <c r="O19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195" spans="1:15" x14ac:dyDescent="0.25">
      <c r="A195" s="1">
        <v>294</v>
      </c>
      <c r="B195" t="s">
        <v>15</v>
      </c>
      <c r="C195">
        <v>33</v>
      </c>
      <c r="D195" t="s">
        <v>16</v>
      </c>
      <c r="E195" t="s">
        <v>17</v>
      </c>
      <c r="F195" s="3">
        <v>830.75</v>
      </c>
      <c r="G195">
        <v>13</v>
      </c>
      <c r="H195">
        <v>4.2</v>
      </c>
      <c r="I195" s="1" t="b">
        <v>0</v>
      </c>
      <c r="J195">
        <v>14</v>
      </c>
      <c r="K195" t="s">
        <v>14</v>
      </c>
      <c r="L195" t="str">
        <f xml:space="preserve"> IF(AND(Customer_Table[[#This Row],[Days Since Last Purchase]]&gt;21,Customer_Table[[#This Row],[Satisfaction Level]] = "Unsatisfied"), "At Risk", "Low Risk")</f>
        <v>Low Risk</v>
      </c>
      <c r="M195" t="str">
        <f t="shared" si="3"/>
        <v>31-35</v>
      </c>
      <c r="N195" t="str">
        <f xml:space="preserve"> IF(Customer_Table[[#This Row],[Total Spend]] &gt;= 1000, "High", IF(Customer_Table[[#This Row],[Total Spend]]&gt;= 600, "Medium", "Low"))</f>
        <v>Medium</v>
      </c>
      <c r="O19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96" spans="1:15" x14ac:dyDescent="0.25">
      <c r="A196" s="1">
        <v>295</v>
      </c>
      <c r="B196" t="s">
        <v>11</v>
      </c>
      <c r="C196">
        <v>42</v>
      </c>
      <c r="D196" t="s">
        <v>19</v>
      </c>
      <c r="E196" t="s">
        <v>20</v>
      </c>
      <c r="F196" s="3">
        <v>520.4</v>
      </c>
      <c r="G196">
        <v>9</v>
      </c>
      <c r="H196">
        <v>3.5</v>
      </c>
      <c r="I196" s="1" t="b">
        <v>1</v>
      </c>
      <c r="J196">
        <v>37</v>
      </c>
      <c r="K196" t="s">
        <v>21</v>
      </c>
      <c r="L196" t="str">
        <f xml:space="preserve"> IF(AND(Customer_Table[[#This Row],[Days Since Last Purchase]]&gt;21,Customer_Table[[#This Row],[Satisfaction Level]] = "Unsatisfied"), "At Risk", "Low Risk")</f>
        <v>At Risk</v>
      </c>
      <c r="M196" t="str">
        <f t="shared" si="3"/>
        <v>41-43</v>
      </c>
      <c r="N196" t="str">
        <f xml:space="preserve"> IF(Customer_Table[[#This Row],[Total Spend]] &gt;= 1000, "High", IF(Customer_Table[[#This Row],[Total Spend]]&gt;= 600, "Medium", "Low"))</f>
        <v>Low</v>
      </c>
      <c r="O19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197" spans="1:15" x14ac:dyDescent="0.25">
      <c r="A197" s="1">
        <v>296</v>
      </c>
      <c r="B197" t="s">
        <v>15</v>
      </c>
      <c r="C197">
        <v>29</v>
      </c>
      <c r="D197" t="s">
        <v>22</v>
      </c>
      <c r="E197" t="s">
        <v>13</v>
      </c>
      <c r="F197" s="3">
        <v>1370.2</v>
      </c>
      <c r="G197">
        <v>18</v>
      </c>
      <c r="H197">
        <v>4.7</v>
      </c>
      <c r="I197" s="1" t="b">
        <v>0</v>
      </c>
      <c r="J197">
        <v>10</v>
      </c>
      <c r="K197" t="s">
        <v>14</v>
      </c>
      <c r="L197" t="str">
        <f xml:space="preserve"> IF(AND(Customer_Table[[#This Row],[Days Since Last Purchase]]&gt;21,Customer_Table[[#This Row],[Satisfaction Level]] = "Unsatisfied"), "At Risk", "Low Risk")</f>
        <v>Low Risk</v>
      </c>
      <c r="M197" t="str">
        <f t="shared" si="3"/>
        <v>26-30</v>
      </c>
      <c r="N197" t="str">
        <f xml:space="preserve"> IF(Customer_Table[[#This Row],[Total Spend]] &gt;= 1000, "High", IF(Customer_Table[[#This Row],[Total Spend]]&gt;= 600, "Medium", "Low"))</f>
        <v>High</v>
      </c>
      <c r="O19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198" spans="1:15" x14ac:dyDescent="0.25">
      <c r="A198" s="1">
        <v>297</v>
      </c>
      <c r="B198" t="s">
        <v>15</v>
      </c>
      <c r="C198">
        <v>26</v>
      </c>
      <c r="D198" t="s">
        <v>23</v>
      </c>
      <c r="E198" t="s">
        <v>17</v>
      </c>
      <c r="F198" s="3">
        <v>690.6</v>
      </c>
      <c r="G198">
        <v>12</v>
      </c>
      <c r="H198">
        <v>3.9</v>
      </c>
      <c r="I198" s="1" t="b">
        <v>1</v>
      </c>
      <c r="J198">
        <v>47</v>
      </c>
      <c r="K198" t="s">
        <v>21</v>
      </c>
      <c r="L198" t="str">
        <f xml:space="preserve"> IF(AND(Customer_Table[[#This Row],[Days Since Last Purchase]]&gt;21,Customer_Table[[#This Row],[Satisfaction Level]] = "Unsatisfied"), "At Risk", "Low Risk")</f>
        <v>At Risk</v>
      </c>
      <c r="M198" t="str">
        <f t="shared" si="3"/>
        <v>26-30</v>
      </c>
      <c r="N198" t="str">
        <f xml:space="preserve"> IF(Customer_Table[[#This Row],[Total Spend]] &gt;= 1000, "High", IF(Customer_Table[[#This Row],[Total Spend]]&gt;= 600, "Medium", "Low"))</f>
        <v>Medium</v>
      </c>
      <c r="O19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199" spans="1:15" x14ac:dyDescent="0.25">
      <c r="A199" s="1">
        <v>298</v>
      </c>
      <c r="B199" t="s">
        <v>11</v>
      </c>
      <c r="C199">
        <v>38</v>
      </c>
      <c r="D199" t="s">
        <v>24</v>
      </c>
      <c r="E199" t="s">
        <v>20</v>
      </c>
      <c r="F199" s="3">
        <v>440.9</v>
      </c>
      <c r="G199">
        <v>8</v>
      </c>
      <c r="H199">
        <v>3.2</v>
      </c>
      <c r="I199" s="1" t="b">
        <v>0</v>
      </c>
      <c r="J199">
        <v>24</v>
      </c>
      <c r="K199" t="s">
        <v>18</v>
      </c>
      <c r="L199" t="str">
        <f xml:space="preserve"> IF(AND(Customer_Table[[#This Row],[Days Since Last Purchase]]&gt;21,Customer_Table[[#This Row],[Satisfaction Level]] = "Unsatisfied"), "At Risk", "Low Risk")</f>
        <v>Low Risk</v>
      </c>
      <c r="M199" t="str">
        <f t="shared" si="3"/>
        <v>36-40</v>
      </c>
      <c r="N199" t="str">
        <f xml:space="preserve"> IF(Customer_Table[[#This Row],[Total Spend]] &gt;= 1000, "High", IF(Customer_Table[[#This Row],[Total Spend]]&gt;= 600, "Medium", "Low"))</f>
        <v>Low</v>
      </c>
      <c r="O19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00" spans="1:15" x14ac:dyDescent="0.25">
      <c r="A200" s="1">
        <v>299</v>
      </c>
      <c r="B200" t="s">
        <v>11</v>
      </c>
      <c r="C200">
        <v>32</v>
      </c>
      <c r="D200" t="s">
        <v>12</v>
      </c>
      <c r="E200" t="s">
        <v>13</v>
      </c>
      <c r="F200" s="3">
        <v>1160.3</v>
      </c>
      <c r="G200">
        <v>14</v>
      </c>
      <c r="H200">
        <v>4.4000000000000004</v>
      </c>
      <c r="I200" s="1" t="b">
        <v>1</v>
      </c>
      <c r="J200">
        <v>22</v>
      </c>
      <c r="K200" t="s">
        <v>14</v>
      </c>
      <c r="L200" t="str">
        <f xml:space="preserve"> IF(AND(Customer_Table[[#This Row],[Days Since Last Purchase]]&gt;21,Customer_Table[[#This Row],[Satisfaction Level]] = "Unsatisfied"), "At Risk", "Low Risk")</f>
        <v>Low Risk</v>
      </c>
      <c r="M200" t="str">
        <f t="shared" si="3"/>
        <v>31-35</v>
      </c>
      <c r="N200" t="str">
        <f xml:space="preserve"> IF(Customer_Table[[#This Row],[Total Spend]] &gt;= 1000, "High", IF(Customer_Table[[#This Row],[Total Spend]]&gt;= 600, "Medium", "Low"))</f>
        <v>High</v>
      </c>
      <c r="O20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01" spans="1:15" x14ac:dyDescent="0.25">
      <c r="A201" s="1">
        <v>300</v>
      </c>
      <c r="B201" t="s">
        <v>15</v>
      </c>
      <c r="C201">
        <v>34</v>
      </c>
      <c r="D201" t="s">
        <v>16</v>
      </c>
      <c r="E201" t="s">
        <v>17</v>
      </c>
      <c r="F201" s="3">
        <v>800.2</v>
      </c>
      <c r="G201">
        <v>11</v>
      </c>
      <c r="H201">
        <v>4.0999999999999996</v>
      </c>
      <c r="I201" s="1" t="b">
        <v>0</v>
      </c>
      <c r="J201">
        <v>17</v>
      </c>
      <c r="K201" t="s">
        <v>18</v>
      </c>
      <c r="L201" t="str">
        <f xml:space="preserve"> IF(AND(Customer_Table[[#This Row],[Days Since Last Purchase]]&gt;21,Customer_Table[[#This Row],[Satisfaction Level]] = "Unsatisfied"), "At Risk", "Low Risk")</f>
        <v>Low Risk</v>
      </c>
      <c r="M201" t="str">
        <f t="shared" si="3"/>
        <v>31-35</v>
      </c>
      <c r="N201" t="str">
        <f xml:space="preserve"> IF(Customer_Table[[#This Row],[Total Spend]] &gt;= 1000, "High", IF(Customer_Table[[#This Row],[Total Spend]]&gt;= 600, "Medium", "Low"))</f>
        <v>Medium</v>
      </c>
      <c r="O20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02" spans="1:15" x14ac:dyDescent="0.25">
      <c r="A202" s="1">
        <v>301</v>
      </c>
      <c r="B202" t="s">
        <v>15</v>
      </c>
      <c r="C202">
        <v>36</v>
      </c>
      <c r="D202" t="s">
        <v>22</v>
      </c>
      <c r="E202" t="s">
        <v>13</v>
      </c>
      <c r="F202" s="3">
        <v>1420.8</v>
      </c>
      <c r="G202">
        <v>19</v>
      </c>
      <c r="H202">
        <v>4.5999999999999996</v>
      </c>
      <c r="I202" s="1" t="b">
        <v>0</v>
      </c>
      <c r="J202">
        <v>11</v>
      </c>
      <c r="K202" t="s">
        <v>14</v>
      </c>
      <c r="L202" t="str">
        <f xml:space="preserve"> IF(AND(Customer_Table[[#This Row],[Days Since Last Purchase]]&gt;21,Customer_Table[[#This Row],[Satisfaction Level]] = "Unsatisfied"), "At Risk", "Low Risk")</f>
        <v>Low Risk</v>
      </c>
      <c r="M202" t="str">
        <f t="shared" si="3"/>
        <v>36-40</v>
      </c>
      <c r="N202" t="str">
        <f xml:space="preserve"> IF(Customer_Table[[#This Row],[Total Spend]] &gt;= 1000, "High", IF(Customer_Table[[#This Row],[Total Spend]]&gt;= 600, "Medium", "Low"))</f>
        <v>High</v>
      </c>
      <c r="O20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03" spans="1:15" x14ac:dyDescent="0.25">
      <c r="A203" s="1">
        <v>302</v>
      </c>
      <c r="B203" t="s">
        <v>11</v>
      </c>
      <c r="C203">
        <v>29</v>
      </c>
      <c r="D203" t="s">
        <v>23</v>
      </c>
      <c r="E203" t="s">
        <v>17</v>
      </c>
      <c r="F203" s="3">
        <v>730.4</v>
      </c>
      <c r="G203">
        <v>14</v>
      </c>
      <c r="H203">
        <v>4</v>
      </c>
      <c r="I203" s="1" t="b">
        <v>1</v>
      </c>
      <c r="J203">
        <v>50</v>
      </c>
      <c r="K203" t="s">
        <v>21</v>
      </c>
      <c r="L203" t="str">
        <f xml:space="preserve"> IF(AND(Customer_Table[[#This Row],[Days Since Last Purchase]]&gt;21,Customer_Table[[#This Row],[Satisfaction Level]] = "Unsatisfied"), "At Risk", "Low Risk")</f>
        <v>At Risk</v>
      </c>
      <c r="M203" t="str">
        <f t="shared" si="3"/>
        <v>26-30</v>
      </c>
      <c r="N203" t="str">
        <f xml:space="preserve"> IF(Customer_Table[[#This Row],[Total Spend]] &gt;= 1000, "High", IF(Customer_Table[[#This Row],[Total Spend]]&gt;= 600, "Medium", "Low"))</f>
        <v>Medium</v>
      </c>
      <c r="O20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04" spans="1:15" x14ac:dyDescent="0.25">
      <c r="A204" s="1">
        <v>303</v>
      </c>
      <c r="B204" t="s">
        <v>11</v>
      </c>
      <c r="C204">
        <v>35</v>
      </c>
      <c r="D204" t="s">
        <v>24</v>
      </c>
      <c r="E204" t="s">
        <v>20</v>
      </c>
      <c r="F204" s="3">
        <v>450.6</v>
      </c>
      <c r="G204">
        <v>7</v>
      </c>
      <c r="H204">
        <v>3.3</v>
      </c>
      <c r="I204" s="1" t="b">
        <v>0</v>
      </c>
      <c r="J204">
        <v>21</v>
      </c>
      <c r="K204" t="s">
        <v>18</v>
      </c>
      <c r="L204" t="str">
        <f xml:space="preserve"> IF(AND(Customer_Table[[#This Row],[Days Since Last Purchase]]&gt;21,Customer_Table[[#This Row],[Satisfaction Level]] = "Unsatisfied"), "At Risk", "Low Risk")</f>
        <v>Low Risk</v>
      </c>
      <c r="M204" t="str">
        <f t="shared" si="3"/>
        <v>31-35</v>
      </c>
      <c r="N204" t="str">
        <f xml:space="preserve"> IF(Customer_Table[[#This Row],[Total Spend]] &gt;= 1000, "High", IF(Customer_Table[[#This Row],[Total Spend]]&gt;= 600, "Medium", "Low"))</f>
        <v>Low</v>
      </c>
      <c r="O20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05" spans="1:15" x14ac:dyDescent="0.25">
      <c r="A205" s="1">
        <v>304</v>
      </c>
      <c r="B205" t="s">
        <v>15</v>
      </c>
      <c r="C205">
        <v>31</v>
      </c>
      <c r="D205" t="s">
        <v>12</v>
      </c>
      <c r="E205" t="s">
        <v>13</v>
      </c>
      <c r="F205" s="3">
        <v>1210.5999999999999</v>
      </c>
      <c r="G205">
        <v>17</v>
      </c>
      <c r="H205">
        <v>4.8</v>
      </c>
      <c r="I205" s="1" t="b">
        <v>1</v>
      </c>
      <c r="J205">
        <v>18</v>
      </c>
      <c r="K205" t="s">
        <v>14</v>
      </c>
      <c r="L205" t="str">
        <f xml:space="preserve"> IF(AND(Customer_Table[[#This Row],[Days Since Last Purchase]]&gt;21,Customer_Table[[#This Row],[Satisfaction Level]] = "Unsatisfied"), "At Risk", "Low Risk")</f>
        <v>Low Risk</v>
      </c>
      <c r="M205" t="str">
        <f t="shared" si="3"/>
        <v>31-35</v>
      </c>
      <c r="N205" t="str">
        <f xml:space="preserve"> IF(Customer_Table[[#This Row],[Total Spend]] &gt;= 1000, "High", IF(Customer_Table[[#This Row],[Total Spend]]&gt;= 600, "Medium", "Low"))</f>
        <v>High</v>
      </c>
      <c r="O20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06" spans="1:15" x14ac:dyDescent="0.25">
      <c r="A206" s="1">
        <v>305</v>
      </c>
      <c r="B206" t="s">
        <v>15</v>
      </c>
      <c r="C206">
        <v>27</v>
      </c>
      <c r="D206" t="s">
        <v>16</v>
      </c>
      <c r="E206" t="s">
        <v>17</v>
      </c>
      <c r="F206" s="3">
        <v>780.9</v>
      </c>
      <c r="G206">
        <v>11</v>
      </c>
      <c r="H206">
        <v>4.2</v>
      </c>
      <c r="I206" s="1" t="b">
        <v>0</v>
      </c>
      <c r="J206">
        <v>16</v>
      </c>
      <c r="K206" t="s">
        <v>18</v>
      </c>
      <c r="L206" t="str">
        <f xml:space="preserve"> IF(AND(Customer_Table[[#This Row],[Days Since Last Purchase]]&gt;21,Customer_Table[[#This Row],[Satisfaction Level]] = "Unsatisfied"), "At Risk", "Low Risk")</f>
        <v>Low Risk</v>
      </c>
      <c r="M206" t="str">
        <f t="shared" si="3"/>
        <v>26-30</v>
      </c>
      <c r="N206" t="str">
        <f xml:space="preserve"> IF(Customer_Table[[#This Row],[Total Spend]] &gt;= 1000, "High", IF(Customer_Table[[#This Row],[Total Spend]]&gt;= 600, "Medium", "Low"))</f>
        <v>Medium</v>
      </c>
      <c r="O20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07" spans="1:15" x14ac:dyDescent="0.25">
      <c r="A207" s="1">
        <v>306</v>
      </c>
      <c r="B207" t="s">
        <v>11</v>
      </c>
      <c r="C207">
        <v>42</v>
      </c>
      <c r="D207" t="s">
        <v>19</v>
      </c>
      <c r="E207" t="s">
        <v>20</v>
      </c>
      <c r="F207" s="3">
        <v>495.25</v>
      </c>
      <c r="G207">
        <v>10</v>
      </c>
      <c r="H207">
        <v>3.5</v>
      </c>
      <c r="I207" s="1" t="b">
        <v>1</v>
      </c>
      <c r="J207">
        <v>35</v>
      </c>
      <c r="K207" t="s">
        <v>21</v>
      </c>
      <c r="L207" t="str">
        <f xml:space="preserve"> IF(AND(Customer_Table[[#This Row],[Days Since Last Purchase]]&gt;21,Customer_Table[[#This Row],[Satisfaction Level]] = "Unsatisfied"), "At Risk", "Low Risk")</f>
        <v>At Risk</v>
      </c>
      <c r="M207" t="str">
        <f t="shared" si="3"/>
        <v>41-43</v>
      </c>
      <c r="N207" t="str">
        <f xml:space="preserve"> IF(Customer_Table[[#This Row],[Total Spend]] &gt;= 1000, "High", IF(Customer_Table[[#This Row],[Total Spend]]&gt;= 600, "Medium", "Low"))</f>
        <v>Low</v>
      </c>
      <c r="O20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08" spans="1:15" x14ac:dyDescent="0.25">
      <c r="A208" s="1">
        <v>307</v>
      </c>
      <c r="B208" t="s">
        <v>15</v>
      </c>
      <c r="C208">
        <v>29</v>
      </c>
      <c r="D208" t="s">
        <v>22</v>
      </c>
      <c r="E208" t="s">
        <v>13</v>
      </c>
      <c r="F208" s="3">
        <v>1390.2</v>
      </c>
      <c r="G208">
        <v>18</v>
      </c>
      <c r="H208">
        <v>4.7</v>
      </c>
      <c r="I208" s="1" t="b">
        <v>0</v>
      </c>
      <c r="J208">
        <v>9</v>
      </c>
      <c r="K208" t="s">
        <v>14</v>
      </c>
      <c r="L208" t="str">
        <f xml:space="preserve"> IF(AND(Customer_Table[[#This Row],[Days Since Last Purchase]]&gt;21,Customer_Table[[#This Row],[Satisfaction Level]] = "Unsatisfied"), "At Risk", "Low Risk")</f>
        <v>Low Risk</v>
      </c>
      <c r="M208" t="str">
        <f t="shared" si="3"/>
        <v>26-30</v>
      </c>
      <c r="N208" t="str">
        <f xml:space="preserve"> IF(Customer_Table[[#This Row],[Total Spend]] &gt;= 1000, "High", IF(Customer_Table[[#This Row],[Total Spend]]&gt;= 600, "Medium", "Low"))</f>
        <v>High</v>
      </c>
      <c r="O20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09" spans="1:15" x14ac:dyDescent="0.25">
      <c r="A209" s="1">
        <v>308</v>
      </c>
      <c r="B209" t="s">
        <v>15</v>
      </c>
      <c r="C209">
        <v>26</v>
      </c>
      <c r="D209" t="s">
        <v>23</v>
      </c>
      <c r="E209" t="s">
        <v>17</v>
      </c>
      <c r="F209" s="3">
        <v>670.6</v>
      </c>
      <c r="G209">
        <v>12</v>
      </c>
      <c r="H209">
        <v>3.9</v>
      </c>
      <c r="I209" s="1" t="b">
        <v>1</v>
      </c>
      <c r="J209">
        <v>46</v>
      </c>
      <c r="K209" t="s">
        <v>21</v>
      </c>
      <c r="L209" t="str">
        <f xml:space="preserve"> IF(AND(Customer_Table[[#This Row],[Days Since Last Purchase]]&gt;21,Customer_Table[[#This Row],[Satisfaction Level]] = "Unsatisfied"), "At Risk", "Low Risk")</f>
        <v>At Risk</v>
      </c>
      <c r="M209" t="str">
        <f t="shared" si="3"/>
        <v>26-30</v>
      </c>
      <c r="N209" t="str">
        <f xml:space="preserve"> IF(Customer_Table[[#This Row],[Total Spend]] &gt;= 1000, "High", IF(Customer_Table[[#This Row],[Total Spend]]&gt;= 600, "Medium", "Low"))</f>
        <v>Medium</v>
      </c>
      <c r="O20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10" spans="1:15" x14ac:dyDescent="0.25">
      <c r="A210" s="1">
        <v>309</v>
      </c>
      <c r="B210" t="s">
        <v>11</v>
      </c>
      <c r="C210">
        <v>38</v>
      </c>
      <c r="D210" t="s">
        <v>24</v>
      </c>
      <c r="E210" t="s">
        <v>20</v>
      </c>
      <c r="F210" s="3">
        <v>460.9</v>
      </c>
      <c r="G210">
        <v>8</v>
      </c>
      <c r="H210">
        <v>3.2</v>
      </c>
      <c r="I210" s="1" t="b">
        <v>0</v>
      </c>
      <c r="J210">
        <v>25</v>
      </c>
      <c r="K210" t="s">
        <v>18</v>
      </c>
      <c r="L210" t="str">
        <f xml:space="preserve"> IF(AND(Customer_Table[[#This Row],[Days Since Last Purchase]]&gt;21,Customer_Table[[#This Row],[Satisfaction Level]] = "Unsatisfied"), "At Risk", "Low Risk")</f>
        <v>Low Risk</v>
      </c>
      <c r="M210" t="str">
        <f t="shared" si="3"/>
        <v>36-40</v>
      </c>
      <c r="N210" t="str">
        <f xml:space="preserve"> IF(Customer_Table[[#This Row],[Total Spend]] &gt;= 1000, "High", IF(Customer_Table[[#This Row],[Total Spend]]&gt;= 600, "Medium", "Low"))</f>
        <v>Low</v>
      </c>
      <c r="O21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11" spans="1:15" x14ac:dyDescent="0.25">
      <c r="A211" s="1">
        <v>310</v>
      </c>
      <c r="B211" t="s">
        <v>11</v>
      </c>
      <c r="C211">
        <v>32</v>
      </c>
      <c r="D211" t="s">
        <v>12</v>
      </c>
      <c r="E211" t="s">
        <v>13</v>
      </c>
      <c r="F211" s="3">
        <v>1170.3</v>
      </c>
      <c r="G211">
        <v>14</v>
      </c>
      <c r="H211">
        <v>4.5</v>
      </c>
      <c r="I211" s="1" t="b">
        <v>1</v>
      </c>
      <c r="J211">
        <v>21</v>
      </c>
      <c r="K211" t="s">
        <v>14</v>
      </c>
      <c r="L211" t="str">
        <f xml:space="preserve"> IF(AND(Customer_Table[[#This Row],[Days Since Last Purchase]]&gt;21,Customer_Table[[#This Row],[Satisfaction Level]] = "Unsatisfied"), "At Risk", "Low Risk")</f>
        <v>Low Risk</v>
      </c>
      <c r="M211" t="str">
        <f t="shared" si="3"/>
        <v>31-35</v>
      </c>
      <c r="N211" t="str">
        <f xml:space="preserve"> IF(Customer_Table[[#This Row],[Total Spend]] &gt;= 1000, "High", IF(Customer_Table[[#This Row],[Total Spend]]&gt;= 600, "Medium", "Low"))</f>
        <v>High</v>
      </c>
      <c r="O21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12" spans="1:15" x14ac:dyDescent="0.25">
      <c r="A212" s="1">
        <v>311</v>
      </c>
      <c r="B212" t="s">
        <v>15</v>
      </c>
      <c r="C212">
        <v>34</v>
      </c>
      <c r="D212" t="s">
        <v>16</v>
      </c>
      <c r="E212" t="s">
        <v>17</v>
      </c>
      <c r="F212" s="3">
        <v>810.2</v>
      </c>
      <c r="G212">
        <v>11</v>
      </c>
      <c r="H212">
        <v>4</v>
      </c>
      <c r="I212" s="1" t="b">
        <v>0</v>
      </c>
      <c r="J212">
        <v>14</v>
      </c>
      <c r="K212" t="s">
        <v>18</v>
      </c>
      <c r="L212" t="str">
        <f xml:space="preserve"> IF(AND(Customer_Table[[#This Row],[Days Since Last Purchase]]&gt;21,Customer_Table[[#This Row],[Satisfaction Level]] = "Unsatisfied"), "At Risk", "Low Risk")</f>
        <v>Low Risk</v>
      </c>
      <c r="M212" t="str">
        <f t="shared" si="3"/>
        <v>31-35</v>
      </c>
      <c r="N212" t="str">
        <f xml:space="preserve"> IF(Customer_Table[[#This Row],[Total Spend]] &gt;= 1000, "High", IF(Customer_Table[[#This Row],[Total Spend]]&gt;= 600, "Medium", "Low"))</f>
        <v>Medium</v>
      </c>
      <c r="O21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13" spans="1:15" x14ac:dyDescent="0.25">
      <c r="A213" s="1">
        <v>312</v>
      </c>
      <c r="B213" t="s">
        <v>11</v>
      </c>
      <c r="C213">
        <v>43</v>
      </c>
      <c r="D213" t="s">
        <v>19</v>
      </c>
      <c r="E213" t="s">
        <v>20</v>
      </c>
      <c r="F213" s="3">
        <v>515.75</v>
      </c>
      <c r="G213">
        <v>9</v>
      </c>
      <c r="H213">
        <v>3.3</v>
      </c>
      <c r="I213" s="1" t="b">
        <v>1</v>
      </c>
      <c r="J213">
        <v>38</v>
      </c>
      <c r="K213" t="s">
        <v>21</v>
      </c>
      <c r="L213" t="str">
        <f xml:space="preserve"> IF(AND(Customer_Table[[#This Row],[Days Since Last Purchase]]&gt;21,Customer_Table[[#This Row],[Satisfaction Level]] = "Unsatisfied"), "At Risk", "Low Risk")</f>
        <v>At Risk</v>
      </c>
      <c r="M213" t="str">
        <f t="shared" si="3"/>
        <v>41-43</v>
      </c>
      <c r="N213" t="str">
        <f xml:space="preserve"> IF(Customer_Table[[#This Row],[Total Spend]] &gt;= 1000, "High", IF(Customer_Table[[#This Row],[Total Spend]]&gt;= 600, "Medium", "Low"))</f>
        <v>Low</v>
      </c>
      <c r="O21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14" spans="1:15" x14ac:dyDescent="0.25">
      <c r="A214" s="1">
        <v>313</v>
      </c>
      <c r="B214" t="s">
        <v>15</v>
      </c>
      <c r="C214">
        <v>30</v>
      </c>
      <c r="D214" t="s">
        <v>22</v>
      </c>
      <c r="E214" t="s">
        <v>13</v>
      </c>
      <c r="F214" s="3">
        <v>1450.5</v>
      </c>
      <c r="G214">
        <v>20</v>
      </c>
      <c r="H214">
        <v>4.8</v>
      </c>
      <c r="I214" s="1" t="b">
        <v>0</v>
      </c>
      <c r="J214">
        <v>12</v>
      </c>
      <c r="K214" t="s">
        <v>14</v>
      </c>
      <c r="L214" t="str">
        <f xml:space="preserve"> IF(AND(Customer_Table[[#This Row],[Days Since Last Purchase]]&gt;21,Customer_Table[[#This Row],[Satisfaction Level]] = "Unsatisfied"), "At Risk", "Low Risk")</f>
        <v>Low Risk</v>
      </c>
      <c r="M214" t="str">
        <f t="shared" si="3"/>
        <v>26-30</v>
      </c>
      <c r="N214" t="str">
        <f xml:space="preserve"> IF(Customer_Table[[#This Row],[Total Spend]] &gt;= 1000, "High", IF(Customer_Table[[#This Row],[Total Spend]]&gt;= 600, "Medium", "Low"))</f>
        <v>High</v>
      </c>
      <c r="O21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15" spans="1:15" x14ac:dyDescent="0.25">
      <c r="A215" s="1">
        <v>314</v>
      </c>
      <c r="B215" t="s">
        <v>15</v>
      </c>
      <c r="C215">
        <v>27</v>
      </c>
      <c r="D215" t="s">
        <v>23</v>
      </c>
      <c r="E215" t="s">
        <v>17</v>
      </c>
      <c r="F215" s="3">
        <v>690.4</v>
      </c>
      <c r="G215">
        <v>13</v>
      </c>
      <c r="H215">
        <v>4.0999999999999996</v>
      </c>
      <c r="I215" s="1" t="b">
        <v>1</v>
      </c>
      <c r="J215">
        <v>52</v>
      </c>
      <c r="K215" t="s">
        <v>21</v>
      </c>
      <c r="L215" t="str">
        <f xml:space="preserve"> IF(AND(Customer_Table[[#This Row],[Days Since Last Purchase]]&gt;21,Customer_Table[[#This Row],[Satisfaction Level]] = "Unsatisfied"), "At Risk", "Low Risk")</f>
        <v>At Risk</v>
      </c>
      <c r="M215" t="str">
        <f t="shared" si="3"/>
        <v>26-30</v>
      </c>
      <c r="N215" t="str">
        <f xml:space="preserve"> IF(Customer_Table[[#This Row],[Total Spend]] &gt;= 1000, "High", IF(Customer_Table[[#This Row],[Total Spend]]&gt;= 600, "Medium", "Low"))</f>
        <v>Medium</v>
      </c>
      <c r="O21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16" spans="1:15" x14ac:dyDescent="0.25">
      <c r="A216" s="1">
        <v>315</v>
      </c>
      <c r="B216" t="s">
        <v>11</v>
      </c>
      <c r="C216">
        <v>37</v>
      </c>
      <c r="D216" t="s">
        <v>24</v>
      </c>
      <c r="E216" t="s">
        <v>20</v>
      </c>
      <c r="F216" s="3">
        <v>420.8</v>
      </c>
      <c r="G216">
        <v>7</v>
      </c>
      <c r="H216">
        <v>3.4</v>
      </c>
      <c r="I216" s="1" t="b">
        <v>0</v>
      </c>
      <c r="J216">
        <v>24</v>
      </c>
      <c r="K216" t="s">
        <v>18</v>
      </c>
      <c r="L216" t="str">
        <f xml:space="preserve"> IF(AND(Customer_Table[[#This Row],[Days Since Last Purchase]]&gt;21,Customer_Table[[#This Row],[Satisfaction Level]] = "Unsatisfied"), "At Risk", "Low Risk")</f>
        <v>Low Risk</v>
      </c>
      <c r="M216" t="str">
        <f t="shared" si="3"/>
        <v>36-40</v>
      </c>
      <c r="N216" t="str">
        <f xml:space="preserve"> IF(Customer_Table[[#This Row],[Total Spend]] &gt;= 1000, "High", IF(Customer_Table[[#This Row],[Total Spend]]&gt;= 600, "Medium", "Low"))</f>
        <v>Low</v>
      </c>
      <c r="O21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17" spans="1:15" x14ac:dyDescent="0.25">
      <c r="A217" s="1">
        <v>316</v>
      </c>
      <c r="B217" t="s">
        <v>11</v>
      </c>
      <c r="C217">
        <v>31</v>
      </c>
      <c r="D217" t="s">
        <v>12</v>
      </c>
      <c r="E217" t="s">
        <v>13</v>
      </c>
      <c r="F217" s="3">
        <v>1130.5999999999999</v>
      </c>
      <c r="G217">
        <v>15</v>
      </c>
      <c r="H217">
        <v>4.5</v>
      </c>
      <c r="I217" s="1" t="b">
        <v>1</v>
      </c>
      <c r="J217">
        <v>26</v>
      </c>
      <c r="K217" t="s">
        <v>14</v>
      </c>
      <c r="L217" t="str">
        <f xml:space="preserve"> IF(AND(Customer_Table[[#This Row],[Days Since Last Purchase]]&gt;21,Customer_Table[[#This Row],[Satisfaction Level]] = "Unsatisfied"), "At Risk", "Low Risk")</f>
        <v>Low Risk</v>
      </c>
      <c r="M217" t="str">
        <f t="shared" si="3"/>
        <v>31-35</v>
      </c>
      <c r="N217" t="str">
        <f xml:space="preserve"> IF(Customer_Table[[#This Row],[Total Spend]] &gt;= 1000, "High", IF(Customer_Table[[#This Row],[Total Spend]]&gt;= 600, "Medium", "Low"))</f>
        <v>High</v>
      </c>
      <c r="O21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18" spans="1:15" x14ac:dyDescent="0.25">
      <c r="A218" s="1">
        <v>317</v>
      </c>
      <c r="B218" t="s">
        <v>15</v>
      </c>
      <c r="C218">
        <v>35</v>
      </c>
      <c r="D218" t="s">
        <v>16</v>
      </c>
      <c r="E218" t="s">
        <v>17</v>
      </c>
      <c r="F218" s="3">
        <v>820.9</v>
      </c>
      <c r="G218">
        <v>12</v>
      </c>
      <c r="H218">
        <v>4.3</v>
      </c>
      <c r="I218" s="1" t="b">
        <v>0</v>
      </c>
      <c r="J218">
        <v>13</v>
      </c>
      <c r="K218" t="s">
        <v>18</v>
      </c>
      <c r="L218" t="str">
        <f xml:space="preserve"> IF(AND(Customer_Table[[#This Row],[Days Since Last Purchase]]&gt;21,Customer_Table[[#This Row],[Satisfaction Level]] = "Unsatisfied"), "At Risk", "Low Risk")</f>
        <v>Low Risk</v>
      </c>
      <c r="M218" t="str">
        <f t="shared" si="3"/>
        <v>31-35</v>
      </c>
      <c r="N218" t="str">
        <f xml:space="preserve"> IF(Customer_Table[[#This Row],[Total Spend]] &gt;= 1000, "High", IF(Customer_Table[[#This Row],[Total Spend]]&gt;= 600, "Medium", "Low"))</f>
        <v>Medium</v>
      </c>
      <c r="O21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19" spans="1:15" x14ac:dyDescent="0.25">
      <c r="A219" s="1">
        <v>318</v>
      </c>
      <c r="B219" t="s">
        <v>11</v>
      </c>
      <c r="C219">
        <v>41</v>
      </c>
      <c r="D219" t="s">
        <v>19</v>
      </c>
      <c r="E219" t="s">
        <v>20</v>
      </c>
      <c r="F219" s="3">
        <v>480.25</v>
      </c>
      <c r="G219">
        <v>9</v>
      </c>
      <c r="H219">
        <v>3.6</v>
      </c>
      <c r="I219" s="1" t="b">
        <v>1</v>
      </c>
      <c r="J219">
        <v>39</v>
      </c>
      <c r="K219" t="s">
        <v>21</v>
      </c>
      <c r="L219" t="str">
        <f xml:space="preserve"> IF(AND(Customer_Table[[#This Row],[Days Since Last Purchase]]&gt;21,Customer_Table[[#This Row],[Satisfaction Level]] = "Unsatisfied"), "At Risk", "Low Risk")</f>
        <v>At Risk</v>
      </c>
      <c r="M219" t="str">
        <f t="shared" si="3"/>
        <v>41-43</v>
      </c>
      <c r="N219" t="str">
        <f xml:space="preserve"> IF(Customer_Table[[#This Row],[Total Spend]] &gt;= 1000, "High", IF(Customer_Table[[#This Row],[Total Spend]]&gt;= 600, "Medium", "Low"))</f>
        <v>Low</v>
      </c>
      <c r="O21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20" spans="1:15" x14ac:dyDescent="0.25">
      <c r="A220" s="1">
        <v>319</v>
      </c>
      <c r="B220" t="s">
        <v>15</v>
      </c>
      <c r="C220">
        <v>28</v>
      </c>
      <c r="D220" t="s">
        <v>22</v>
      </c>
      <c r="E220" t="s">
        <v>13</v>
      </c>
      <c r="F220" s="3">
        <v>1490.1</v>
      </c>
      <c r="G220">
        <v>21</v>
      </c>
      <c r="H220">
        <v>4.9000000000000004</v>
      </c>
      <c r="I220" s="1" t="b">
        <v>0</v>
      </c>
      <c r="J220">
        <v>9</v>
      </c>
      <c r="K220" t="s">
        <v>14</v>
      </c>
      <c r="L220" t="str">
        <f xml:space="preserve"> IF(AND(Customer_Table[[#This Row],[Days Since Last Purchase]]&gt;21,Customer_Table[[#This Row],[Satisfaction Level]] = "Unsatisfied"), "At Risk", "Low Risk")</f>
        <v>Low Risk</v>
      </c>
      <c r="M220" t="str">
        <f t="shared" si="3"/>
        <v>26-30</v>
      </c>
      <c r="N220" t="str">
        <f xml:space="preserve"> IF(Customer_Table[[#This Row],[Total Spend]] &gt;= 1000, "High", IF(Customer_Table[[#This Row],[Total Spend]]&gt;= 600, "Medium", "Low"))</f>
        <v>High</v>
      </c>
      <c r="O22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21" spans="1:15" x14ac:dyDescent="0.25">
      <c r="A221" s="1">
        <v>320</v>
      </c>
      <c r="B221" t="s">
        <v>15</v>
      </c>
      <c r="C221">
        <v>32</v>
      </c>
      <c r="D221" t="s">
        <v>23</v>
      </c>
      <c r="E221" t="s">
        <v>17</v>
      </c>
      <c r="F221" s="3">
        <v>680.3</v>
      </c>
      <c r="G221">
        <v>10</v>
      </c>
      <c r="H221">
        <v>3.8</v>
      </c>
      <c r="I221" s="1" t="b">
        <v>1</v>
      </c>
      <c r="J221">
        <v>32</v>
      </c>
      <c r="K221" t="s">
        <v>21</v>
      </c>
      <c r="L221" t="str">
        <f xml:space="preserve"> IF(AND(Customer_Table[[#This Row],[Days Since Last Purchase]]&gt;21,Customer_Table[[#This Row],[Satisfaction Level]] = "Unsatisfied"), "At Risk", "Low Risk")</f>
        <v>At Risk</v>
      </c>
      <c r="M221" t="str">
        <f t="shared" si="3"/>
        <v>31-35</v>
      </c>
      <c r="N221" t="str">
        <f xml:space="preserve"> IF(Customer_Table[[#This Row],[Total Spend]] &gt;= 1000, "High", IF(Customer_Table[[#This Row],[Total Spend]]&gt;= 600, "Medium", "Low"))</f>
        <v>Medium</v>
      </c>
      <c r="O22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22" spans="1:15" x14ac:dyDescent="0.25">
      <c r="A222" s="1">
        <v>321</v>
      </c>
      <c r="B222" t="s">
        <v>11</v>
      </c>
      <c r="C222">
        <v>36</v>
      </c>
      <c r="D222" t="s">
        <v>24</v>
      </c>
      <c r="E222" t="s">
        <v>20</v>
      </c>
      <c r="F222" s="3">
        <v>470.5</v>
      </c>
      <c r="G222">
        <v>8</v>
      </c>
      <c r="H222">
        <v>3</v>
      </c>
      <c r="I222" s="1" t="b">
        <v>0</v>
      </c>
      <c r="J222">
        <v>18</v>
      </c>
      <c r="K222" t="s">
        <v>18</v>
      </c>
      <c r="L222" t="str">
        <f xml:space="preserve"> IF(AND(Customer_Table[[#This Row],[Days Since Last Purchase]]&gt;21,Customer_Table[[#This Row],[Satisfaction Level]] = "Unsatisfied"), "At Risk", "Low Risk")</f>
        <v>Low Risk</v>
      </c>
      <c r="M222" t="str">
        <f t="shared" si="3"/>
        <v>36-40</v>
      </c>
      <c r="N222" t="str">
        <f xml:space="preserve"> IF(Customer_Table[[#This Row],[Total Spend]] &gt;= 1000, "High", IF(Customer_Table[[#This Row],[Total Spend]]&gt;= 600, "Medium", "Low"))</f>
        <v>Low</v>
      </c>
      <c r="O22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23" spans="1:15" x14ac:dyDescent="0.25">
      <c r="A223" s="1">
        <v>322</v>
      </c>
      <c r="B223" t="s">
        <v>11</v>
      </c>
      <c r="C223">
        <v>30</v>
      </c>
      <c r="D223" t="s">
        <v>12</v>
      </c>
      <c r="E223" t="s">
        <v>13</v>
      </c>
      <c r="F223" s="3">
        <v>1180.8</v>
      </c>
      <c r="G223">
        <v>16</v>
      </c>
      <c r="H223">
        <v>4.7</v>
      </c>
      <c r="I223" s="1" t="b">
        <v>1</v>
      </c>
      <c r="J223">
        <v>19</v>
      </c>
      <c r="K223" t="s">
        <v>14</v>
      </c>
      <c r="L223" t="str">
        <f xml:space="preserve"> IF(AND(Customer_Table[[#This Row],[Days Since Last Purchase]]&gt;21,Customer_Table[[#This Row],[Satisfaction Level]] = "Unsatisfied"), "At Risk", "Low Risk")</f>
        <v>Low Risk</v>
      </c>
      <c r="M223" t="str">
        <f t="shared" si="3"/>
        <v>26-30</v>
      </c>
      <c r="N223" t="str">
        <f xml:space="preserve"> IF(Customer_Table[[#This Row],[Total Spend]] &gt;= 1000, "High", IF(Customer_Table[[#This Row],[Total Spend]]&gt;= 600, "Medium", "Low"))</f>
        <v>High</v>
      </c>
      <c r="O22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24" spans="1:15" x14ac:dyDescent="0.25">
      <c r="A224" s="1">
        <v>323</v>
      </c>
      <c r="B224" t="s">
        <v>15</v>
      </c>
      <c r="C224">
        <v>34</v>
      </c>
      <c r="D224" t="s">
        <v>16</v>
      </c>
      <c r="E224" t="s">
        <v>17</v>
      </c>
      <c r="F224" s="3">
        <v>790.2</v>
      </c>
      <c r="G224">
        <v>11</v>
      </c>
      <c r="H224">
        <v>4</v>
      </c>
      <c r="I224" s="1" t="b">
        <v>0</v>
      </c>
      <c r="J224">
        <v>15</v>
      </c>
      <c r="K224" t="s">
        <v>18</v>
      </c>
      <c r="L224" t="str">
        <f xml:space="preserve"> IF(AND(Customer_Table[[#This Row],[Days Since Last Purchase]]&gt;21,Customer_Table[[#This Row],[Satisfaction Level]] = "Unsatisfied"), "At Risk", "Low Risk")</f>
        <v>Low Risk</v>
      </c>
      <c r="M224" t="str">
        <f t="shared" si="3"/>
        <v>31-35</v>
      </c>
      <c r="N224" t="str">
        <f xml:space="preserve"> IF(Customer_Table[[#This Row],[Total Spend]] &gt;= 1000, "High", IF(Customer_Table[[#This Row],[Total Spend]]&gt;= 600, "Medium", "Low"))</f>
        <v>Medium</v>
      </c>
      <c r="O22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25" spans="1:15" x14ac:dyDescent="0.25">
      <c r="A225" s="1">
        <v>324</v>
      </c>
      <c r="B225" t="s">
        <v>11</v>
      </c>
      <c r="C225">
        <v>43</v>
      </c>
      <c r="D225" t="s">
        <v>19</v>
      </c>
      <c r="E225" t="s">
        <v>20</v>
      </c>
      <c r="F225" s="3">
        <v>505.75</v>
      </c>
      <c r="G225">
        <v>10</v>
      </c>
      <c r="H225">
        <v>3.3</v>
      </c>
      <c r="I225" s="1" t="b">
        <v>1</v>
      </c>
      <c r="J225">
        <v>39</v>
      </c>
      <c r="K225" t="s">
        <v>21</v>
      </c>
      <c r="L225" t="str">
        <f xml:space="preserve"> IF(AND(Customer_Table[[#This Row],[Days Since Last Purchase]]&gt;21,Customer_Table[[#This Row],[Satisfaction Level]] = "Unsatisfied"), "At Risk", "Low Risk")</f>
        <v>At Risk</v>
      </c>
      <c r="M225" t="str">
        <f t="shared" si="3"/>
        <v>41-43</v>
      </c>
      <c r="N225" t="str">
        <f xml:space="preserve"> IF(Customer_Table[[#This Row],[Total Spend]] &gt;= 1000, "High", IF(Customer_Table[[#This Row],[Total Spend]]&gt;= 600, "Medium", "Low"))</f>
        <v>Low</v>
      </c>
      <c r="O22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26" spans="1:15" x14ac:dyDescent="0.25">
      <c r="A226" s="1">
        <v>325</v>
      </c>
      <c r="B226" t="s">
        <v>15</v>
      </c>
      <c r="C226">
        <v>30</v>
      </c>
      <c r="D226" t="s">
        <v>22</v>
      </c>
      <c r="E226" t="s">
        <v>13</v>
      </c>
      <c r="F226" s="3">
        <v>1470.5</v>
      </c>
      <c r="G226">
        <v>20</v>
      </c>
      <c r="H226">
        <v>4.8</v>
      </c>
      <c r="I226" s="1" t="b">
        <v>0</v>
      </c>
      <c r="J226">
        <v>13</v>
      </c>
      <c r="K226" t="s">
        <v>14</v>
      </c>
      <c r="L226" t="str">
        <f xml:space="preserve"> IF(AND(Customer_Table[[#This Row],[Days Since Last Purchase]]&gt;21,Customer_Table[[#This Row],[Satisfaction Level]] = "Unsatisfied"), "At Risk", "Low Risk")</f>
        <v>Low Risk</v>
      </c>
      <c r="M226" t="str">
        <f t="shared" si="3"/>
        <v>26-30</v>
      </c>
      <c r="N226" t="str">
        <f xml:space="preserve"> IF(Customer_Table[[#This Row],[Total Spend]] &gt;= 1000, "High", IF(Customer_Table[[#This Row],[Total Spend]]&gt;= 600, "Medium", "Low"))</f>
        <v>High</v>
      </c>
      <c r="O22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27" spans="1:15" x14ac:dyDescent="0.25">
      <c r="A227" s="1">
        <v>326</v>
      </c>
      <c r="B227" t="s">
        <v>15</v>
      </c>
      <c r="C227">
        <v>27</v>
      </c>
      <c r="D227" t="s">
        <v>23</v>
      </c>
      <c r="E227" t="s">
        <v>17</v>
      </c>
      <c r="F227" s="3">
        <v>710.4</v>
      </c>
      <c r="G227">
        <v>13</v>
      </c>
      <c r="H227">
        <v>4.0999999999999996</v>
      </c>
      <c r="I227" s="1" t="b">
        <v>1</v>
      </c>
      <c r="J227">
        <v>54</v>
      </c>
      <c r="K227" t="s">
        <v>21</v>
      </c>
      <c r="L227" t="str">
        <f xml:space="preserve"> IF(AND(Customer_Table[[#This Row],[Days Since Last Purchase]]&gt;21,Customer_Table[[#This Row],[Satisfaction Level]] = "Unsatisfied"), "At Risk", "Low Risk")</f>
        <v>At Risk</v>
      </c>
      <c r="M227" t="str">
        <f t="shared" si="3"/>
        <v>26-30</v>
      </c>
      <c r="N227" t="str">
        <f xml:space="preserve"> IF(Customer_Table[[#This Row],[Total Spend]] &gt;= 1000, "High", IF(Customer_Table[[#This Row],[Total Spend]]&gt;= 600, "Medium", "Low"))</f>
        <v>Medium</v>
      </c>
      <c r="O22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28" spans="1:15" x14ac:dyDescent="0.25">
      <c r="A228" s="1">
        <v>327</v>
      </c>
      <c r="B228" t="s">
        <v>11</v>
      </c>
      <c r="C228">
        <v>37</v>
      </c>
      <c r="D228" t="s">
        <v>24</v>
      </c>
      <c r="E228" t="s">
        <v>20</v>
      </c>
      <c r="F228" s="3">
        <v>430.8</v>
      </c>
      <c r="G228">
        <v>7</v>
      </c>
      <c r="H228">
        <v>3.4</v>
      </c>
      <c r="I228" s="1" t="b">
        <v>0</v>
      </c>
      <c r="J228">
        <v>23</v>
      </c>
      <c r="K228" t="s">
        <v>18</v>
      </c>
      <c r="L228" t="str">
        <f xml:space="preserve"> IF(AND(Customer_Table[[#This Row],[Days Since Last Purchase]]&gt;21,Customer_Table[[#This Row],[Satisfaction Level]] = "Unsatisfied"), "At Risk", "Low Risk")</f>
        <v>Low Risk</v>
      </c>
      <c r="M228" t="str">
        <f t="shared" si="3"/>
        <v>36-40</v>
      </c>
      <c r="N228" t="str">
        <f xml:space="preserve"> IF(Customer_Table[[#This Row],[Total Spend]] &gt;= 1000, "High", IF(Customer_Table[[#This Row],[Total Spend]]&gt;= 600, "Medium", "Low"))</f>
        <v>Low</v>
      </c>
      <c r="O22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29" spans="1:15" x14ac:dyDescent="0.25">
      <c r="A229" s="1">
        <v>328</v>
      </c>
      <c r="B229" t="s">
        <v>11</v>
      </c>
      <c r="C229">
        <v>31</v>
      </c>
      <c r="D229" t="s">
        <v>12</v>
      </c>
      <c r="E229" t="s">
        <v>13</v>
      </c>
      <c r="F229" s="3">
        <v>1140.5999999999999</v>
      </c>
      <c r="G229">
        <v>15</v>
      </c>
      <c r="H229">
        <v>4.5</v>
      </c>
      <c r="I229" s="1" t="b">
        <v>1</v>
      </c>
      <c r="J229">
        <v>27</v>
      </c>
      <c r="K229" t="s">
        <v>14</v>
      </c>
      <c r="L229" t="str">
        <f xml:space="preserve"> IF(AND(Customer_Table[[#This Row],[Days Since Last Purchase]]&gt;21,Customer_Table[[#This Row],[Satisfaction Level]] = "Unsatisfied"), "At Risk", "Low Risk")</f>
        <v>Low Risk</v>
      </c>
      <c r="M229" t="str">
        <f t="shared" si="3"/>
        <v>31-35</v>
      </c>
      <c r="N229" t="str">
        <f xml:space="preserve"> IF(Customer_Table[[#This Row],[Total Spend]] &gt;= 1000, "High", IF(Customer_Table[[#This Row],[Total Spend]]&gt;= 600, "Medium", "Low"))</f>
        <v>High</v>
      </c>
      <c r="O22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30" spans="1:15" x14ac:dyDescent="0.25">
      <c r="A230" s="1">
        <v>329</v>
      </c>
      <c r="B230" t="s">
        <v>15</v>
      </c>
      <c r="C230">
        <v>35</v>
      </c>
      <c r="D230" t="s">
        <v>16</v>
      </c>
      <c r="E230" t="s">
        <v>17</v>
      </c>
      <c r="F230" s="3">
        <v>820.9</v>
      </c>
      <c r="G230">
        <v>12</v>
      </c>
      <c r="H230">
        <v>4.3</v>
      </c>
      <c r="I230" s="1" t="b">
        <v>0</v>
      </c>
      <c r="J230">
        <v>13</v>
      </c>
      <c r="K230" t="s">
        <v>18</v>
      </c>
      <c r="L230" t="str">
        <f xml:space="preserve"> IF(AND(Customer_Table[[#This Row],[Days Since Last Purchase]]&gt;21,Customer_Table[[#This Row],[Satisfaction Level]] = "Unsatisfied"), "At Risk", "Low Risk")</f>
        <v>Low Risk</v>
      </c>
      <c r="M230" t="str">
        <f t="shared" si="3"/>
        <v>31-35</v>
      </c>
      <c r="N230" t="str">
        <f xml:space="preserve"> IF(Customer_Table[[#This Row],[Total Spend]] &gt;= 1000, "High", IF(Customer_Table[[#This Row],[Total Spend]]&gt;= 600, "Medium", "Low"))</f>
        <v>Medium</v>
      </c>
      <c r="O23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31" spans="1:15" x14ac:dyDescent="0.25">
      <c r="A231" s="1">
        <v>330</v>
      </c>
      <c r="B231" t="s">
        <v>11</v>
      </c>
      <c r="C231">
        <v>41</v>
      </c>
      <c r="D231" t="s">
        <v>19</v>
      </c>
      <c r="E231" t="s">
        <v>20</v>
      </c>
      <c r="F231" s="3">
        <v>485.25</v>
      </c>
      <c r="G231">
        <v>9</v>
      </c>
      <c r="H231">
        <v>3.6</v>
      </c>
      <c r="I231" s="1" t="b">
        <v>1</v>
      </c>
      <c r="J231">
        <v>39</v>
      </c>
      <c r="K231" t="s">
        <v>21</v>
      </c>
      <c r="L231" t="str">
        <f xml:space="preserve"> IF(AND(Customer_Table[[#This Row],[Days Since Last Purchase]]&gt;21,Customer_Table[[#This Row],[Satisfaction Level]] = "Unsatisfied"), "At Risk", "Low Risk")</f>
        <v>At Risk</v>
      </c>
      <c r="M231" t="str">
        <f t="shared" si="3"/>
        <v>41-43</v>
      </c>
      <c r="N231" t="str">
        <f xml:space="preserve"> IF(Customer_Table[[#This Row],[Total Spend]] &gt;= 1000, "High", IF(Customer_Table[[#This Row],[Total Spend]]&gt;= 600, "Medium", "Low"))</f>
        <v>Low</v>
      </c>
      <c r="O23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32" spans="1:15" x14ac:dyDescent="0.25">
      <c r="A232" s="1">
        <v>331</v>
      </c>
      <c r="B232" t="s">
        <v>15</v>
      </c>
      <c r="C232">
        <v>28</v>
      </c>
      <c r="D232" t="s">
        <v>22</v>
      </c>
      <c r="E232" t="s">
        <v>13</v>
      </c>
      <c r="F232" s="3">
        <v>1500.1</v>
      </c>
      <c r="G232">
        <v>21</v>
      </c>
      <c r="H232">
        <v>4.9000000000000004</v>
      </c>
      <c r="I232" s="1" t="b">
        <v>0</v>
      </c>
      <c r="J232">
        <v>10</v>
      </c>
      <c r="K232" t="s">
        <v>14</v>
      </c>
      <c r="L232" t="str">
        <f xml:space="preserve"> IF(AND(Customer_Table[[#This Row],[Days Since Last Purchase]]&gt;21,Customer_Table[[#This Row],[Satisfaction Level]] = "Unsatisfied"), "At Risk", "Low Risk")</f>
        <v>Low Risk</v>
      </c>
      <c r="M232" t="str">
        <f t="shared" si="3"/>
        <v>26-30</v>
      </c>
      <c r="N232" t="str">
        <f xml:space="preserve"> IF(Customer_Table[[#This Row],[Total Spend]] &gt;= 1000, "High", IF(Customer_Table[[#This Row],[Total Spend]]&gt;= 600, "Medium", "Low"))</f>
        <v>High</v>
      </c>
      <c r="O23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33" spans="1:15" x14ac:dyDescent="0.25">
      <c r="A233" s="1">
        <v>332</v>
      </c>
      <c r="B233" t="s">
        <v>15</v>
      </c>
      <c r="C233">
        <v>32</v>
      </c>
      <c r="D233" t="s">
        <v>23</v>
      </c>
      <c r="E233" t="s">
        <v>17</v>
      </c>
      <c r="F233" s="3">
        <v>670.3</v>
      </c>
      <c r="G233">
        <v>10</v>
      </c>
      <c r="H233">
        <v>3.8</v>
      </c>
      <c r="I233" s="1" t="b">
        <v>1</v>
      </c>
      <c r="J233">
        <v>33</v>
      </c>
      <c r="K233" t="s">
        <v>21</v>
      </c>
      <c r="L233" t="str">
        <f xml:space="preserve"> IF(AND(Customer_Table[[#This Row],[Days Since Last Purchase]]&gt;21,Customer_Table[[#This Row],[Satisfaction Level]] = "Unsatisfied"), "At Risk", "Low Risk")</f>
        <v>At Risk</v>
      </c>
      <c r="M233" t="str">
        <f t="shared" si="3"/>
        <v>31-35</v>
      </c>
      <c r="N233" t="str">
        <f xml:space="preserve"> IF(Customer_Table[[#This Row],[Total Spend]] &gt;= 1000, "High", IF(Customer_Table[[#This Row],[Total Spend]]&gt;= 600, "Medium", "Low"))</f>
        <v>Medium</v>
      </c>
      <c r="O23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34" spans="1:15" x14ac:dyDescent="0.25">
      <c r="A234" s="1">
        <v>333</v>
      </c>
      <c r="B234" t="s">
        <v>11</v>
      </c>
      <c r="C234">
        <v>36</v>
      </c>
      <c r="D234" t="s">
        <v>24</v>
      </c>
      <c r="E234" t="s">
        <v>20</v>
      </c>
      <c r="F234" s="3">
        <v>460.5</v>
      </c>
      <c r="G234">
        <v>8</v>
      </c>
      <c r="H234">
        <v>3.1</v>
      </c>
      <c r="I234" s="1" t="b">
        <v>0</v>
      </c>
      <c r="J234">
        <v>19</v>
      </c>
      <c r="K234" t="s">
        <v>18</v>
      </c>
      <c r="L234" t="str">
        <f xml:space="preserve"> IF(AND(Customer_Table[[#This Row],[Days Since Last Purchase]]&gt;21,Customer_Table[[#This Row],[Satisfaction Level]] = "Unsatisfied"), "At Risk", "Low Risk")</f>
        <v>Low Risk</v>
      </c>
      <c r="M234" t="str">
        <f t="shared" si="3"/>
        <v>36-40</v>
      </c>
      <c r="N234" t="str">
        <f xml:space="preserve"> IF(Customer_Table[[#This Row],[Total Spend]] &gt;= 1000, "High", IF(Customer_Table[[#This Row],[Total Spend]]&gt;= 600, "Medium", "Low"))</f>
        <v>Low</v>
      </c>
      <c r="O23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35" spans="1:15" x14ac:dyDescent="0.25">
      <c r="A235" s="1">
        <v>334</v>
      </c>
      <c r="B235" t="s">
        <v>11</v>
      </c>
      <c r="C235">
        <v>30</v>
      </c>
      <c r="D235" t="s">
        <v>12</v>
      </c>
      <c r="E235" t="s">
        <v>13</v>
      </c>
      <c r="F235" s="3">
        <v>1190.8</v>
      </c>
      <c r="G235">
        <v>16</v>
      </c>
      <c r="H235">
        <v>4.5</v>
      </c>
      <c r="I235" s="1" t="b">
        <v>1</v>
      </c>
      <c r="J235">
        <v>20</v>
      </c>
      <c r="K235" t="s">
        <v>14</v>
      </c>
      <c r="L235" t="str">
        <f xml:space="preserve"> IF(AND(Customer_Table[[#This Row],[Days Since Last Purchase]]&gt;21,Customer_Table[[#This Row],[Satisfaction Level]] = "Unsatisfied"), "At Risk", "Low Risk")</f>
        <v>Low Risk</v>
      </c>
      <c r="M235" t="str">
        <f t="shared" si="3"/>
        <v>26-30</v>
      </c>
      <c r="N235" t="str">
        <f xml:space="preserve"> IF(Customer_Table[[#This Row],[Total Spend]] &gt;= 1000, "High", IF(Customer_Table[[#This Row],[Total Spend]]&gt;= 600, "Medium", "Low"))</f>
        <v>High</v>
      </c>
      <c r="O23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36" spans="1:15" x14ac:dyDescent="0.25">
      <c r="A236" s="1">
        <v>335</v>
      </c>
      <c r="B236" t="s">
        <v>15</v>
      </c>
      <c r="C236">
        <v>33</v>
      </c>
      <c r="D236" t="s">
        <v>16</v>
      </c>
      <c r="E236" t="s">
        <v>17</v>
      </c>
      <c r="F236" s="3">
        <v>830.75</v>
      </c>
      <c r="G236">
        <v>13</v>
      </c>
      <c r="H236">
        <v>4.2</v>
      </c>
      <c r="I236" s="1" t="b">
        <v>0</v>
      </c>
      <c r="J236">
        <v>14</v>
      </c>
      <c r="K236" t="s">
        <v>14</v>
      </c>
      <c r="L236" t="str">
        <f xml:space="preserve"> IF(AND(Customer_Table[[#This Row],[Days Since Last Purchase]]&gt;21,Customer_Table[[#This Row],[Satisfaction Level]] = "Unsatisfied"), "At Risk", "Low Risk")</f>
        <v>Low Risk</v>
      </c>
      <c r="M236" t="str">
        <f t="shared" si="3"/>
        <v>31-35</v>
      </c>
      <c r="N236" t="str">
        <f xml:space="preserve"> IF(Customer_Table[[#This Row],[Total Spend]] &gt;= 1000, "High", IF(Customer_Table[[#This Row],[Total Spend]]&gt;= 600, "Medium", "Low"))</f>
        <v>Medium</v>
      </c>
      <c r="O23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37" spans="1:15" x14ac:dyDescent="0.25">
      <c r="A237" s="1">
        <v>336</v>
      </c>
      <c r="B237" t="s">
        <v>11</v>
      </c>
      <c r="C237">
        <v>42</v>
      </c>
      <c r="D237" t="s">
        <v>19</v>
      </c>
      <c r="E237" t="s">
        <v>20</v>
      </c>
      <c r="F237" s="3">
        <v>520.4</v>
      </c>
      <c r="G237">
        <v>9</v>
      </c>
      <c r="H237">
        <v>3.5</v>
      </c>
      <c r="I237" s="1" t="b">
        <v>1</v>
      </c>
      <c r="J237">
        <v>37</v>
      </c>
      <c r="K237" t="s">
        <v>21</v>
      </c>
      <c r="L237" t="str">
        <f xml:space="preserve"> IF(AND(Customer_Table[[#This Row],[Days Since Last Purchase]]&gt;21,Customer_Table[[#This Row],[Satisfaction Level]] = "Unsatisfied"), "At Risk", "Low Risk")</f>
        <v>At Risk</v>
      </c>
      <c r="M237" t="str">
        <f t="shared" si="3"/>
        <v>41-43</v>
      </c>
      <c r="N237" t="str">
        <f xml:space="preserve"> IF(Customer_Table[[#This Row],[Total Spend]] &gt;= 1000, "High", IF(Customer_Table[[#This Row],[Total Spend]]&gt;= 600, "Medium", "Low"))</f>
        <v>Low</v>
      </c>
      <c r="O23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38" spans="1:15" x14ac:dyDescent="0.25">
      <c r="A238" s="1">
        <v>337</v>
      </c>
      <c r="B238" t="s">
        <v>15</v>
      </c>
      <c r="C238">
        <v>29</v>
      </c>
      <c r="D238" t="s">
        <v>22</v>
      </c>
      <c r="E238" t="s">
        <v>13</v>
      </c>
      <c r="F238" s="3">
        <v>1370.2</v>
      </c>
      <c r="G238">
        <v>18</v>
      </c>
      <c r="H238">
        <v>4.7</v>
      </c>
      <c r="I238" s="1" t="b">
        <v>0</v>
      </c>
      <c r="J238">
        <v>10</v>
      </c>
      <c r="K238" t="s">
        <v>14</v>
      </c>
      <c r="L238" t="str">
        <f xml:space="preserve"> IF(AND(Customer_Table[[#This Row],[Days Since Last Purchase]]&gt;21,Customer_Table[[#This Row],[Satisfaction Level]] = "Unsatisfied"), "At Risk", "Low Risk")</f>
        <v>Low Risk</v>
      </c>
      <c r="M238" t="str">
        <f t="shared" si="3"/>
        <v>26-30</v>
      </c>
      <c r="N238" t="str">
        <f xml:space="preserve"> IF(Customer_Table[[#This Row],[Total Spend]] &gt;= 1000, "High", IF(Customer_Table[[#This Row],[Total Spend]]&gt;= 600, "Medium", "Low"))</f>
        <v>High</v>
      </c>
      <c r="O23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39" spans="1:15" x14ac:dyDescent="0.25">
      <c r="A239" s="1">
        <v>338</v>
      </c>
      <c r="B239" t="s">
        <v>15</v>
      </c>
      <c r="C239">
        <v>26</v>
      </c>
      <c r="D239" t="s">
        <v>23</v>
      </c>
      <c r="E239" t="s">
        <v>17</v>
      </c>
      <c r="F239" s="3">
        <v>690.6</v>
      </c>
      <c r="G239">
        <v>12</v>
      </c>
      <c r="H239">
        <v>3.9</v>
      </c>
      <c r="I239" s="1" t="b">
        <v>1</v>
      </c>
      <c r="J239">
        <v>47</v>
      </c>
      <c r="K239" t="s">
        <v>21</v>
      </c>
      <c r="L239" t="str">
        <f xml:space="preserve"> IF(AND(Customer_Table[[#This Row],[Days Since Last Purchase]]&gt;21,Customer_Table[[#This Row],[Satisfaction Level]] = "Unsatisfied"), "At Risk", "Low Risk")</f>
        <v>At Risk</v>
      </c>
      <c r="M239" t="str">
        <f t="shared" si="3"/>
        <v>26-30</v>
      </c>
      <c r="N239" t="str">
        <f xml:space="preserve"> IF(Customer_Table[[#This Row],[Total Spend]] &gt;= 1000, "High", IF(Customer_Table[[#This Row],[Total Spend]]&gt;= 600, "Medium", "Low"))</f>
        <v>Medium</v>
      </c>
      <c r="O23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40" spans="1:15" x14ac:dyDescent="0.25">
      <c r="A240" s="1">
        <v>339</v>
      </c>
      <c r="B240" t="s">
        <v>11</v>
      </c>
      <c r="C240">
        <v>38</v>
      </c>
      <c r="D240" t="s">
        <v>24</v>
      </c>
      <c r="E240" t="s">
        <v>20</v>
      </c>
      <c r="F240" s="3">
        <v>440.9</v>
      </c>
      <c r="G240">
        <v>8</v>
      </c>
      <c r="H240">
        <v>3.2</v>
      </c>
      <c r="I240" s="1" t="b">
        <v>0</v>
      </c>
      <c r="J240">
        <v>24</v>
      </c>
      <c r="K240" t="s">
        <v>18</v>
      </c>
      <c r="L240" t="str">
        <f xml:space="preserve"> IF(AND(Customer_Table[[#This Row],[Days Since Last Purchase]]&gt;21,Customer_Table[[#This Row],[Satisfaction Level]] = "Unsatisfied"), "At Risk", "Low Risk")</f>
        <v>Low Risk</v>
      </c>
      <c r="M240" t="str">
        <f t="shared" si="3"/>
        <v>36-40</v>
      </c>
      <c r="N240" t="str">
        <f xml:space="preserve"> IF(Customer_Table[[#This Row],[Total Spend]] &gt;= 1000, "High", IF(Customer_Table[[#This Row],[Total Spend]]&gt;= 600, "Medium", "Low"))</f>
        <v>Low</v>
      </c>
      <c r="O24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41" spans="1:15" x14ac:dyDescent="0.25">
      <c r="A241" s="1">
        <v>340</v>
      </c>
      <c r="B241" t="s">
        <v>11</v>
      </c>
      <c r="C241">
        <v>32</v>
      </c>
      <c r="D241" t="s">
        <v>12</v>
      </c>
      <c r="E241" t="s">
        <v>13</v>
      </c>
      <c r="F241" s="3">
        <v>1160.3</v>
      </c>
      <c r="G241">
        <v>14</v>
      </c>
      <c r="H241">
        <v>4.4000000000000004</v>
      </c>
      <c r="I241" s="1" t="b">
        <v>1</v>
      </c>
      <c r="J241">
        <v>22</v>
      </c>
      <c r="K241" t="s">
        <v>14</v>
      </c>
      <c r="L241" t="str">
        <f xml:space="preserve"> IF(AND(Customer_Table[[#This Row],[Days Since Last Purchase]]&gt;21,Customer_Table[[#This Row],[Satisfaction Level]] = "Unsatisfied"), "At Risk", "Low Risk")</f>
        <v>Low Risk</v>
      </c>
      <c r="M241" t="str">
        <f t="shared" si="3"/>
        <v>31-35</v>
      </c>
      <c r="N241" t="str">
        <f xml:space="preserve"> IF(Customer_Table[[#This Row],[Total Spend]] &gt;= 1000, "High", IF(Customer_Table[[#This Row],[Total Spend]]&gt;= 600, "Medium", "Low"))</f>
        <v>High</v>
      </c>
      <c r="O24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42" spans="1:15" x14ac:dyDescent="0.25">
      <c r="A242" s="1">
        <v>341</v>
      </c>
      <c r="B242" t="s">
        <v>15</v>
      </c>
      <c r="C242">
        <v>34</v>
      </c>
      <c r="D242" t="s">
        <v>16</v>
      </c>
      <c r="E242" t="s">
        <v>17</v>
      </c>
      <c r="F242" s="3">
        <v>800.2</v>
      </c>
      <c r="G242">
        <v>11</v>
      </c>
      <c r="H242">
        <v>4.0999999999999996</v>
      </c>
      <c r="I242" s="1" t="b">
        <v>0</v>
      </c>
      <c r="J242">
        <v>17</v>
      </c>
      <c r="K242" t="s">
        <v>18</v>
      </c>
      <c r="L242" t="str">
        <f xml:space="preserve"> IF(AND(Customer_Table[[#This Row],[Days Since Last Purchase]]&gt;21,Customer_Table[[#This Row],[Satisfaction Level]] = "Unsatisfied"), "At Risk", "Low Risk")</f>
        <v>Low Risk</v>
      </c>
      <c r="M242" t="str">
        <f t="shared" si="3"/>
        <v>31-35</v>
      </c>
      <c r="N242" t="str">
        <f xml:space="preserve"> IF(Customer_Table[[#This Row],[Total Spend]] &gt;= 1000, "High", IF(Customer_Table[[#This Row],[Total Spend]]&gt;= 600, "Medium", "Low"))</f>
        <v>Medium</v>
      </c>
      <c r="O24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43" spans="1:15" x14ac:dyDescent="0.25">
      <c r="A243" s="1">
        <v>342</v>
      </c>
      <c r="B243" t="s">
        <v>11</v>
      </c>
      <c r="C243">
        <v>43</v>
      </c>
      <c r="D243" t="s">
        <v>19</v>
      </c>
      <c r="E243" t="s">
        <v>20</v>
      </c>
      <c r="F243" s="3">
        <v>525.75</v>
      </c>
      <c r="G243">
        <v>9</v>
      </c>
      <c r="H243">
        <v>3.3</v>
      </c>
      <c r="I243" s="1" t="b">
        <v>1</v>
      </c>
      <c r="J243">
        <v>40</v>
      </c>
      <c r="K243" t="s">
        <v>21</v>
      </c>
      <c r="L243" t="str">
        <f xml:space="preserve"> IF(AND(Customer_Table[[#This Row],[Days Since Last Purchase]]&gt;21,Customer_Table[[#This Row],[Satisfaction Level]] = "Unsatisfied"), "At Risk", "Low Risk")</f>
        <v>At Risk</v>
      </c>
      <c r="M243" t="str">
        <f t="shared" si="3"/>
        <v>41-43</v>
      </c>
      <c r="N243" t="str">
        <f xml:space="preserve"> IF(Customer_Table[[#This Row],[Total Spend]] &gt;= 1000, "High", IF(Customer_Table[[#This Row],[Total Spend]]&gt;= 600, "Medium", "Low"))</f>
        <v>Low</v>
      </c>
      <c r="O24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44" spans="1:15" x14ac:dyDescent="0.25">
      <c r="A244" s="1">
        <v>343</v>
      </c>
      <c r="B244" t="s">
        <v>15</v>
      </c>
      <c r="C244">
        <v>30</v>
      </c>
      <c r="D244" t="s">
        <v>22</v>
      </c>
      <c r="E244" t="s">
        <v>13</v>
      </c>
      <c r="F244" s="3">
        <v>1460.5</v>
      </c>
      <c r="G244">
        <v>20</v>
      </c>
      <c r="H244">
        <v>4.8</v>
      </c>
      <c r="I244" s="1" t="b">
        <v>0</v>
      </c>
      <c r="J244">
        <v>11</v>
      </c>
      <c r="K244" t="s">
        <v>14</v>
      </c>
      <c r="L244" t="str">
        <f xml:space="preserve"> IF(AND(Customer_Table[[#This Row],[Days Since Last Purchase]]&gt;21,Customer_Table[[#This Row],[Satisfaction Level]] = "Unsatisfied"), "At Risk", "Low Risk")</f>
        <v>Low Risk</v>
      </c>
      <c r="M244" t="str">
        <f t="shared" si="3"/>
        <v>26-30</v>
      </c>
      <c r="N244" t="str">
        <f xml:space="preserve"> IF(Customer_Table[[#This Row],[Total Spend]] &gt;= 1000, "High", IF(Customer_Table[[#This Row],[Total Spend]]&gt;= 600, "Medium", "Low"))</f>
        <v>High</v>
      </c>
      <c r="O24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45" spans="1:15" x14ac:dyDescent="0.25">
      <c r="A245" s="1">
        <v>344</v>
      </c>
      <c r="B245" t="s">
        <v>15</v>
      </c>
      <c r="C245">
        <v>27</v>
      </c>
      <c r="D245" t="s">
        <v>23</v>
      </c>
      <c r="E245" t="s">
        <v>17</v>
      </c>
      <c r="F245" s="3">
        <v>720.4</v>
      </c>
      <c r="G245">
        <v>13</v>
      </c>
      <c r="H245">
        <v>4</v>
      </c>
      <c r="I245" s="1" t="b">
        <v>1</v>
      </c>
      <c r="J245">
        <v>55</v>
      </c>
      <c r="K245" t="s">
        <v>21</v>
      </c>
      <c r="L245" t="str">
        <f xml:space="preserve"> IF(AND(Customer_Table[[#This Row],[Days Since Last Purchase]]&gt;21,Customer_Table[[#This Row],[Satisfaction Level]] = "Unsatisfied"), "At Risk", "Low Risk")</f>
        <v>At Risk</v>
      </c>
      <c r="M245" t="str">
        <f t="shared" si="3"/>
        <v>26-30</v>
      </c>
      <c r="N245" t="str">
        <f xml:space="preserve"> IF(Customer_Table[[#This Row],[Total Spend]] &gt;= 1000, "High", IF(Customer_Table[[#This Row],[Total Spend]]&gt;= 600, "Medium", "Low"))</f>
        <v>Medium</v>
      </c>
      <c r="O24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46" spans="1:15" x14ac:dyDescent="0.25">
      <c r="A246" s="1">
        <v>345</v>
      </c>
      <c r="B246" t="s">
        <v>11</v>
      </c>
      <c r="C246">
        <v>37</v>
      </c>
      <c r="D246" t="s">
        <v>24</v>
      </c>
      <c r="E246" t="s">
        <v>20</v>
      </c>
      <c r="F246" s="3">
        <v>440.8</v>
      </c>
      <c r="G246">
        <v>7</v>
      </c>
      <c r="H246">
        <v>3.2</v>
      </c>
      <c r="I246" s="1" t="b">
        <v>0</v>
      </c>
      <c r="J246">
        <v>25</v>
      </c>
      <c r="K246" t="s">
        <v>18</v>
      </c>
      <c r="L246" t="str">
        <f xml:space="preserve"> IF(AND(Customer_Table[[#This Row],[Days Since Last Purchase]]&gt;21,Customer_Table[[#This Row],[Satisfaction Level]] = "Unsatisfied"), "At Risk", "Low Risk")</f>
        <v>Low Risk</v>
      </c>
      <c r="M246" t="str">
        <f t="shared" si="3"/>
        <v>36-40</v>
      </c>
      <c r="N246" t="str">
        <f xml:space="preserve"> IF(Customer_Table[[#This Row],[Total Spend]] &gt;= 1000, "High", IF(Customer_Table[[#This Row],[Total Spend]]&gt;= 600, "Medium", "Low"))</f>
        <v>Low</v>
      </c>
      <c r="O24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47" spans="1:15" x14ac:dyDescent="0.25">
      <c r="A247" s="1">
        <v>346</v>
      </c>
      <c r="B247" t="s">
        <v>11</v>
      </c>
      <c r="C247">
        <v>31</v>
      </c>
      <c r="D247" t="s">
        <v>12</v>
      </c>
      <c r="E247" t="s">
        <v>13</v>
      </c>
      <c r="F247" s="3">
        <v>1150.5999999999999</v>
      </c>
      <c r="G247">
        <v>15</v>
      </c>
      <c r="H247">
        <v>4.5</v>
      </c>
      <c r="I247" s="1" t="b">
        <v>1</v>
      </c>
      <c r="J247">
        <v>28</v>
      </c>
      <c r="K247" t="s">
        <v>14</v>
      </c>
      <c r="L247" t="str">
        <f xml:space="preserve"> IF(AND(Customer_Table[[#This Row],[Days Since Last Purchase]]&gt;21,Customer_Table[[#This Row],[Satisfaction Level]] = "Unsatisfied"), "At Risk", "Low Risk")</f>
        <v>Low Risk</v>
      </c>
      <c r="M247" t="str">
        <f t="shared" si="3"/>
        <v>31-35</v>
      </c>
      <c r="N247" t="str">
        <f xml:space="preserve"> IF(Customer_Table[[#This Row],[Total Spend]] &gt;= 1000, "High", IF(Customer_Table[[#This Row],[Total Spend]]&gt;= 600, "Medium", "Low"))</f>
        <v>High</v>
      </c>
      <c r="O24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48" spans="1:15" x14ac:dyDescent="0.25">
      <c r="A248" s="1">
        <v>347</v>
      </c>
      <c r="B248" t="s">
        <v>15</v>
      </c>
      <c r="C248">
        <v>35</v>
      </c>
      <c r="D248" t="s">
        <v>16</v>
      </c>
      <c r="E248" t="s">
        <v>17</v>
      </c>
      <c r="F248" s="3">
        <v>830.9</v>
      </c>
      <c r="G248">
        <v>12</v>
      </c>
      <c r="H248">
        <v>4.3</v>
      </c>
      <c r="I248" s="1" t="b">
        <v>0</v>
      </c>
      <c r="J248">
        <v>14</v>
      </c>
      <c r="K248" t="s">
        <v>18</v>
      </c>
      <c r="L248" t="str">
        <f xml:space="preserve"> IF(AND(Customer_Table[[#This Row],[Days Since Last Purchase]]&gt;21,Customer_Table[[#This Row],[Satisfaction Level]] = "Unsatisfied"), "At Risk", "Low Risk")</f>
        <v>Low Risk</v>
      </c>
      <c r="M248" t="str">
        <f t="shared" si="3"/>
        <v>31-35</v>
      </c>
      <c r="N248" t="str">
        <f xml:space="preserve"> IF(Customer_Table[[#This Row],[Total Spend]] &gt;= 1000, "High", IF(Customer_Table[[#This Row],[Total Spend]]&gt;= 600, "Medium", "Low"))</f>
        <v>Medium</v>
      </c>
      <c r="O24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49" spans="1:15" x14ac:dyDescent="0.25">
      <c r="A249" s="1">
        <v>348</v>
      </c>
      <c r="B249" t="s">
        <v>11</v>
      </c>
      <c r="C249">
        <v>41</v>
      </c>
      <c r="D249" t="s">
        <v>19</v>
      </c>
      <c r="E249" t="s">
        <v>20</v>
      </c>
      <c r="F249" s="3">
        <v>490.25</v>
      </c>
      <c r="G249">
        <v>9</v>
      </c>
      <c r="H249">
        <v>3.6</v>
      </c>
      <c r="I249" s="1" t="b">
        <v>1</v>
      </c>
      <c r="J249">
        <v>40</v>
      </c>
      <c r="K249" t="s">
        <v>21</v>
      </c>
      <c r="L249" t="str">
        <f xml:space="preserve"> IF(AND(Customer_Table[[#This Row],[Days Since Last Purchase]]&gt;21,Customer_Table[[#This Row],[Satisfaction Level]] = "Unsatisfied"), "At Risk", "Low Risk")</f>
        <v>At Risk</v>
      </c>
      <c r="M249" t="str">
        <f t="shared" si="3"/>
        <v>41-43</v>
      </c>
      <c r="N249" t="str">
        <f xml:space="preserve"> IF(Customer_Table[[#This Row],[Total Spend]] &gt;= 1000, "High", IF(Customer_Table[[#This Row],[Total Spend]]&gt;= 600, "Medium", "Low"))</f>
        <v>Low</v>
      </c>
      <c r="O24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50" spans="1:15" x14ac:dyDescent="0.25">
      <c r="A250" s="1">
        <v>349</v>
      </c>
      <c r="B250" t="s">
        <v>15</v>
      </c>
      <c r="C250">
        <v>28</v>
      </c>
      <c r="D250" t="s">
        <v>22</v>
      </c>
      <c r="E250" t="s">
        <v>13</v>
      </c>
      <c r="F250" s="3">
        <v>1480.1</v>
      </c>
      <c r="G250">
        <v>21</v>
      </c>
      <c r="H250">
        <v>4.9000000000000004</v>
      </c>
      <c r="I250" s="1" t="b">
        <v>0</v>
      </c>
      <c r="J250">
        <v>10</v>
      </c>
      <c r="K250" t="s">
        <v>14</v>
      </c>
      <c r="L250" t="str">
        <f xml:space="preserve"> IF(AND(Customer_Table[[#This Row],[Days Since Last Purchase]]&gt;21,Customer_Table[[#This Row],[Satisfaction Level]] = "Unsatisfied"), "At Risk", "Low Risk")</f>
        <v>Low Risk</v>
      </c>
      <c r="M250" t="str">
        <f t="shared" si="3"/>
        <v>26-30</v>
      </c>
      <c r="N250" t="str">
        <f xml:space="preserve"> IF(Customer_Table[[#This Row],[Total Spend]] &gt;= 1000, "High", IF(Customer_Table[[#This Row],[Total Spend]]&gt;= 600, "Medium", "Low"))</f>
        <v>High</v>
      </c>
      <c r="O25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51" spans="1:15" x14ac:dyDescent="0.25">
      <c r="A251" s="1">
        <v>350</v>
      </c>
      <c r="B251" t="s">
        <v>15</v>
      </c>
      <c r="C251">
        <v>32</v>
      </c>
      <c r="D251" t="s">
        <v>23</v>
      </c>
      <c r="E251" t="s">
        <v>17</v>
      </c>
      <c r="F251" s="3">
        <v>690.3</v>
      </c>
      <c r="G251">
        <v>10</v>
      </c>
      <c r="H251">
        <v>3.8</v>
      </c>
      <c r="I251" s="1" t="b">
        <v>1</v>
      </c>
      <c r="J251">
        <v>34</v>
      </c>
      <c r="K251" t="s">
        <v>21</v>
      </c>
      <c r="L251" t="str">
        <f xml:space="preserve"> IF(AND(Customer_Table[[#This Row],[Days Since Last Purchase]]&gt;21,Customer_Table[[#This Row],[Satisfaction Level]] = "Unsatisfied"), "At Risk", "Low Risk")</f>
        <v>At Risk</v>
      </c>
      <c r="M251" t="str">
        <f t="shared" si="3"/>
        <v>31-35</v>
      </c>
      <c r="N251" t="str">
        <f xml:space="preserve"> IF(Customer_Table[[#This Row],[Total Spend]] &gt;= 1000, "High", IF(Customer_Table[[#This Row],[Total Spend]]&gt;= 600, "Medium", "Low"))</f>
        <v>Medium</v>
      </c>
      <c r="O25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52" spans="1:15" x14ac:dyDescent="0.25">
      <c r="A252" s="1">
        <v>351</v>
      </c>
      <c r="B252" t="s">
        <v>11</v>
      </c>
      <c r="C252">
        <v>36</v>
      </c>
      <c r="D252" t="s">
        <v>24</v>
      </c>
      <c r="E252" t="s">
        <v>20</v>
      </c>
      <c r="F252" s="3">
        <v>480.5</v>
      </c>
      <c r="G252">
        <v>8</v>
      </c>
      <c r="H252">
        <v>3.1</v>
      </c>
      <c r="I252" s="1" t="b">
        <v>0</v>
      </c>
      <c r="J252">
        <v>20</v>
      </c>
      <c r="K252" t="s">
        <v>18</v>
      </c>
      <c r="L252" t="str">
        <f xml:space="preserve"> IF(AND(Customer_Table[[#This Row],[Days Since Last Purchase]]&gt;21,Customer_Table[[#This Row],[Satisfaction Level]] = "Unsatisfied"), "At Risk", "Low Risk")</f>
        <v>Low Risk</v>
      </c>
      <c r="M252" t="str">
        <f t="shared" si="3"/>
        <v>36-40</v>
      </c>
      <c r="N252" t="str">
        <f xml:space="preserve"> IF(Customer_Table[[#This Row],[Total Spend]] &gt;= 1000, "High", IF(Customer_Table[[#This Row],[Total Spend]]&gt;= 600, "Medium", "Low"))</f>
        <v>Low</v>
      </c>
      <c r="O25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53" spans="1:15" x14ac:dyDescent="0.25">
      <c r="A253" s="1">
        <v>352</v>
      </c>
      <c r="B253" t="s">
        <v>11</v>
      </c>
      <c r="C253">
        <v>30</v>
      </c>
      <c r="D253" t="s">
        <v>12</v>
      </c>
      <c r="E253" t="s">
        <v>13</v>
      </c>
      <c r="F253" s="3">
        <v>1170.8</v>
      </c>
      <c r="G253">
        <v>16</v>
      </c>
      <c r="H253">
        <v>4.7</v>
      </c>
      <c r="I253" s="1" t="b">
        <v>1</v>
      </c>
      <c r="J253">
        <v>21</v>
      </c>
      <c r="K253" t="s">
        <v>14</v>
      </c>
      <c r="L253" t="str">
        <f xml:space="preserve"> IF(AND(Customer_Table[[#This Row],[Days Since Last Purchase]]&gt;21,Customer_Table[[#This Row],[Satisfaction Level]] = "Unsatisfied"), "At Risk", "Low Risk")</f>
        <v>Low Risk</v>
      </c>
      <c r="M253" t="str">
        <f t="shared" si="3"/>
        <v>26-30</v>
      </c>
      <c r="N253" t="str">
        <f xml:space="preserve"> IF(Customer_Table[[#This Row],[Total Spend]] &gt;= 1000, "High", IF(Customer_Table[[#This Row],[Total Spend]]&gt;= 600, "Medium", "Low"))</f>
        <v>High</v>
      </c>
      <c r="O25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54" spans="1:15" x14ac:dyDescent="0.25">
      <c r="A254" s="1">
        <v>353</v>
      </c>
      <c r="B254" t="s">
        <v>15</v>
      </c>
      <c r="C254">
        <v>34</v>
      </c>
      <c r="D254" t="s">
        <v>16</v>
      </c>
      <c r="E254" t="s">
        <v>17</v>
      </c>
      <c r="F254" s="3">
        <v>790.2</v>
      </c>
      <c r="G254">
        <v>11</v>
      </c>
      <c r="H254">
        <v>4</v>
      </c>
      <c r="I254" s="1" t="b">
        <v>0</v>
      </c>
      <c r="J254">
        <v>15</v>
      </c>
      <c r="K254" t="s">
        <v>18</v>
      </c>
      <c r="L254" t="str">
        <f xml:space="preserve"> IF(AND(Customer_Table[[#This Row],[Days Since Last Purchase]]&gt;21,Customer_Table[[#This Row],[Satisfaction Level]] = "Unsatisfied"), "At Risk", "Low Risk")</f>
        <v>Low Risk</v>
      </c>
      <c r="M254" t="str">
        <f t="shared" si="3"/>
        <v>31-35</v>
      </c>
      <c r="N254" t="str">
        <f xml:space="preserve"> IF(Customer_Table[[#This Row],[Total Spend]] &gt;= 1000, "High", IF(Customer_Table[[#This Row],[Total Spend]]&gt;= 600, "Medium", "Low"))</f>
        <v>Medium</v>
      </c>
      <c r="O25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55" spans="1:15" x14ac:dyDescent="0.25">
      <c r="A255" s="1">
        <v>354</v>
      </c>
      <c r="B255" t="s">
        <v>11</v>
      </c>
      <c r="C255">
        <v>43</v>
      </c>
      <c r="D255" t="s">
        <v>19</v>
      </c>
      <c r="E255" t="s">
        <v>20</v>
      </c>
      <c r="F255" s="3">
        <v>510.75</v>
      </c>
      <c r="G255">
        <v>10</v>
      </c>
      <c r="H255">
        <v>3.3</v>
      </c>
      <c r="I255" s="1" t="b">
        <v>1</v>
      </c>
      <c r="J255">
        <v>41</v>
      </c>
      <c r="K255" t="s">
        <v>21</v>
      </c>
      <c r="L255" t="str">
        <f xml:space="preserve"> IF(AND(Customer_Table[[#This Row],[Days Since Last Purchase]]&gt;21,Customer_Table[[#This Row],[Satisfaction Level]] = "Unsatisfied"), "At Risk", "Low Risk")</f>
        <v>At Risk</v>
      </c>
      <c r="M255" t="str">
        <f t="shared" si="3"/>
        <v>41-43</v>
      </c>
      <c r="N255" t="str">
        <f xml:space="preserve"> IF(Customer_Table[[#This Row],[Total Spend]] &gt;= 1000, "High", IF(Customer_Table[[#This Row],[Total Spend]]&gt;= 600, "Medium", "Low"))</f>
        <v>Low</v>
      </c>
      <c r="O25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56" spans="1:15" x14ac:dyDescent="0.25">
      <c r="A256" s="1">
        <v>355</v>
      </c>
      <c r="B256" t="s">
        <v>15</v>
      </c>
      <c r="C256">
        <v>30</v>
      </c>
      <c r="D256" t="s">
        <v>22</v>
      </c>
      <c r="E256" t="s">
        <v>13</v>
      </c>
      <c r="F256" s="3">
        <v>1440.5</v>
      </c>
      <c r="G256">
        <v>19</v>
      </c>
      <c r="H256">
        <v>4.5999999999999996</v>
      </c>
      <c r="I256" s="1" t="b">
        <v>0</v>
      </c>
      <c r="J256">
        <v>12</v>
      </c>
      <c r="K256" t="s">
        <v>14</v>
      </c>
      <c r="L256" t="str">
        <f xml:space="preserve"> IF(AND(Customer_Table[[#This Row],[Days Since Last Purchase]]&gt;21,Customer_Table[[#This Row],[Satisfaction Level]] = "Unsatisfied"), "At Risk", "Low Risk")</f>
        <v>Low Risk</v>
      </c>
      <c r="M256" t="str">
        <f t="shared" si="3"/>
        <v>26-30</v>
      </c>
      <c r="N256" t="str">
        <f xml:space="preserve"> IF(Customer_Table[[#This Row],[Total Spend]] &gt;= 1000, "High", IF(Customer_Table[[#This Row],[Total Spend]]&gt;= 600, "Medium", "Low"))</f>
        <v>High</v>
      </c>
      <c r="O25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57" spans="1:15" x14ac:dyDescent="0.25">
      <c r="A257" s="1">
        <v>356</v>
      </c>
      <c r="B257" t="s">
        <v>15</v>
      </c>
      <c r="C257">
        <v>27</v>
      </c>
      <c r="D257" t="s">
        <v>23</v>
      </c>
      <c r="E257" t="s">
        <v>17</v>
      </c>
      <c r="F257" s="3">
        <v>700.4</v>
      </c>
      <c r="G257">
        <v>13</v>
      </c>
      <c r="H257">
        <v>4.0999999999999996</v>
      </c>
      <c r="I257" s="1" t="b">
        <v>1</v>
      </c>
      <c r="J257">
        <v>56</v>
      </c>
      <c r="K257" t="s">
        <v>21</v>
      </c>
      <c r="L257" t="str">
        <f xml:space="preserve"> IF(AND(Customer_Table[[#This Row],[Days Since Last Purchase]]&gt;21,Customer_Table[[#This Row],[Satisfaction Level]] = "Unsatisfied"), "At Risk", "Low Risk")</f>
        <v>At Risk</v>
      </c>
      <c r="M257" t="str">
        <f t="shared" si="3"/>
        <v>26-30</v>
      </c>
      <c r="N257" t="str">
        <f xml:space="preserve"> IF(Customer_Table[[#This Row],[Total Spend]] &gt;= 1000, "High", IF(Customer_Table[[#This Row],[Total Spend]]&gt;= 600, "Medium", "Low"))</f>
        <v>Medium</v>
      </c>
      <c r="O25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8 weeks</v>
      </c>
    </row>
    <row r="258" spans="1:15" x14ac:dyDescent="0.25">
      <c r="A258" s="1">
        <v>357</v>
      </c>
      <c r="B258" t="s">
        <v>11</v>
      </c>
      <c r="C258">
        <v>37</v>
      </c>
      <c r="D258" t="s">
        <v>24</v>
      </c>
      <c r="E258" t="s">
        <v>20</v>
      </c>
      <c r="F258" s="3">
        <v>410.8</v>
      </c>
      <c r="G258">
        <v>7</v>
      </c>
      <c r="H258">
        <v>3.4</v>
      </c>
      <c r="I258" s="1" t="b">
        <v>0</v>
      </c>
      <c r="J258">
        <v>26</v>
      </c>
      <c r="K258" t="s">
        <v>18</v>
      </c>
      <c r="L258" t="str">
        <f xml:space="preserve"> IF(AND(Customer_Table[[#This Row],[Days Since Last Purchase]]&gt;21,Customer_Table[[#This Row],[Satisfaction Level]] = "Unsatisfied"), "At Risk", "Low Risk")</f>
        <v>Low Risk</v>
      </c>
      <c r="M258" t="str">
        <f t="shared" ref="M258:M321" si="4" xml:space="preserve"> IF(C258&lt;=30, "26-30", IF(C258&lt;=35, "31-35", IF(C258&lt;=40, "36-40", "41-43")))</f>
        <v>36-40</v>
      </c>
      <c r="N258" t="str">
        <f xml:space="preserve"> IF(Customer_Table[[#This Row],[Total Spend]] &gt;= 1000, "High", IF(Customer_Table[[#This Row],[Total Spend]]&gt;= 600, "Medium", "Low"))</f>
        <v>Low</v>
      </c>
      <c r="O25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59" spans="1:15" x14ac:dyDescent="0.25">
      <c r="A259" s="1">
        <v>358</v>
      </c>
      <c r="B259" t="s">
        <v>11</v>
      </c>
      <c r="C259">
        <v>31</v>
      </c>
      <c r="D259" t="s">
        <v>12</v>
      </c>
      <c r="E259" t="s">
        <v>13</v>
      </c>
      <c r="F259" s="3">
        <v>1160.5999999999999</v>
      </c>
      <c r="G259">
        <v>15</v>
      </c>
      <c r="H259">
        <v>4.5</v>
      </c>
      <c r="I259" s="1" t="b">
        <v>1</v>
      </c>
      <c r="J259">
        <v>29</v>
      </c>
      <c r="K259" t="s">
        <v>14</v>
      </c>
      <c r="L259" t="str">
        <f xml:space="preserve"> IF(AND(Customer_Table[[#This Row],[Days Since Last Purchase]]&gt;21,Customer_Table[[#This Row],[Satisfaction Level]] = "Unsatisfied"), "At Risk", "Low Risk")</f>
        <v>Low Risk</v>
      </c>
      <c r="M259" t="str">
        <f t="shared" si="4"/>
        <v>31-35</v>
      </c>
      <c r="N259" t="str">
        <f xml:space="preserve"> IF(Customer_Table[[#This Row],[Total Spend]] &gt;= 1000, "High", IF(Customer_Table[[#This Row],[Total Spend]]&gt;= 600, "Medium", "Low"))</f>
        <v>High</v>
      </c>
      <c r="O25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60" spans="1:15" x14ac:dyDescent="0.25">
      <c r="A260" s="1">
        <v>359</v>
      </c>
      <c r="B260" t="s">
        <v>15</v>
      </c>
      <c r="C260">
        <v>35</v>
      </c>
      <c r="D260" t="s">
        <v>16</v>
      </c>
      <c r="E260" t="s">
        <v>17</v>
      </c>
      <c r="F260" s="3">
        <v>810.9</v>
      </c>
      <c r="G260">
        <v>12</v>
      </c>
      <c r="H260">
        <v>4.3</v>
      </c>
      <c r="I260" s="1" t="b">
        <v>0</v>
      </c>
      <c r="J260">
        <v>14</v>
      </c>
      <c r="K260" t="s">
        <v>18</v>
      </c>
      <c r="L260" t="str">
        <f xml:space="preserve"> IF(AND(Customer_Table[[#This Row],[Days Since Last Purchase]]&gt;21,Customer_Table[[#This Row],[Satisfaction Level]] = "Unsatisfied"), "At Risk", "Low Risk")</f>
        <v>Low Risk</v>
      </c>
      <c r="M260" t="str">
        <f t="shared" si="4"/>
        <v>31-35</v>
      </c>
      <c r="N260" t="str">
        <f xml:space="preserve"> IF(Customer_Table[[#This Row],[Total Spend]] &gt;= 1000, "High", IF(Customer_Table[[#This Row],[Total Spend]]&gt;= 600, "Medium", "Low"))</f>
        <v>Medium</v>
      </c>
      <c r="O26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61" spans="1:15" x14ac:dyDescent="0.25">
      <c r="A261" s="1">
        <v>360</v>
      </c>
      <c r="B261" t="s">
        <v>11</v>
      </c>
      <c r="C261">
        <v>41</v>
      </c>
      <c r="D261" t="s">
        <v>19</v>
      </c>
      <c r="E261" t="s">
        <v>20</v>
      </c>
      <c r="F261" s="3">
        <v>495.25</v>
      </c>
      <c r="G261">
        <v>9</v>
      </c>
      <c r="H261">
        <v>3.6</v>
      </c>
      <c r="I261" s="1" t="b">
        <v>1</v>
      </c>
      <c r="J261">
        <v>41</v>
      </c>
      <c r="K261" t="s">
        <v>21</v>
      </c>
      <c r="L261" t="str">
        <f xml:space="preserve"> IF(AND(Customer_Table[[#This Row],[Days Since Last Purchase]]&gt;21,Customer_Table[[#This Row],[Satisfaction Level]] = "Unsatisfied"), "At Risk", "Low Risk")</f>
        <v>At Risk</v>
      </c>
      <c r="M261" t="str">
        <f t="shared" si="4"/>
        <v>41-43</v>
      </c>
      <c r="N261" t="str">
        <f xml:space="preserve"> IF(Customer_Table[[#This Row],[Total Spend]] &gt;= 1000, "High", IF(Customer_Table[[#This Row],[Total Spend]]&gt;= 600, "Medium", "Low"))</f>
        <v>Low</v>
      </c>
      <c r="O26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62" spans="1:15" x14ac:dyDescent="0.25">
      <c r="A262" s="1">
        <v>361</v>
      </c>
      <c r="B262" t="s">
        <v>15</v>
      </c>
      <c r="C262">
        <v>28</v>
      </c>
      <c r="D262" t="s">
        <v>22</v>
      </c>
      <c r="E262" t="s">
        <v>13</v>
      </c>
      <c r="F262" s="3">
        <v>1490.1</v>
      </c>
      <c r="G262">
        <v>21</v>
      </c>
      <c r="H262">
        <v>4.9000000000000004</v>
      </c>
      <c r="I262" s="1" t="b">
        <v>0</v>
      </c>
      <c r="J262">
        <v>10</v>
      </c>
      <c r="K262" t="s">
        <v>14</v>
      </c>
      <c r="L262" t="str">
        <f xml:space="preserve"> IF(AND(Customer_Table[[#This Row],[Days Since Last Purchase]]&gt;21,Customer_Table[[#This Row],[Satisfaction Level]] = "Unsatisfied"), "At Risk", "Low Risk")</f>
        <v>Low Risk</v>
      </c>
      <c r="M262" t="str">
        <f t="shared" si="4"/>
        <v>26-30</v>
      </c>
      <c r="N262" t="str">
        <f xml:space="preserve"> IF(Customer_Table[[#This Row],[Total Spend]] &gt;= 1000, "High", IF(Customer_Table[[#This Row],[Total Spend]]&gt;= 600, "Medium", "Low"))</f>
        <v>High</v>
      </c>
      <c r="O26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63" spans="1:15" x14ac:dyDescent="0.25">
      <c r="A263" s="1">
        <v>362</v>
      </c>
      <c r="B263" t="s">
        <v>15</v>
      </c>
      <c r="C263">
        <v>32</v>
      </c>
      <c r="D263" t="s">
        <v>23</v>
      </c>
      <c r="E263" t="s">
        <v>17</v>
      </c>
      <c r="F263" s="3">
        <v>660.3</v>
      </c>
      <c r="G263">
        <v>10</v>
      </c>
      <c r="H263">
        <v>3.8</v>
      </c>
      <c r="I263" s="1" t="b">
        <v>1</v>
      </c>
      <c r="J263">
        <v>35</v>
      </c>
      <c r="K263" t="s">
        <v>21</v>
      </c>
      <c r="L263" t="str">
        <f xml:space="preserve"> IF(AND(Customer_Table[[#This Row],[Days Since Last Purchase]]&gt;21,Customer_Table[[#This Row],[Satisfaction Level]] = "Unsatisfied"), "At Risk", "Low Risk")</f>
        <v>At Risk</v>
      </c>
      <c r="M263" t="str">
        <f t="shared" si="4"/>
        <v>31-35</v>
      </c>
      <c r="N263" t="str">
        <f xml:space="preserve"> IF(Customer_Table[[#This Row],[Total Spend]] &gt;= 1000, "High", IF(Customer_Table[[#This Row],[Total Spend]]&gt;= 600, "Medium", "Low"))</f>
        <v>Medium</v>
      </c>
      <c r="O26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64" spans="1:15" x14ac:dyDescent="0.25">
      <c r="A264" s="1">
        <v>363</v>
      </c>
      <c r="B264" t="s">
        <v>11</v>
      </c>
      <c r="C264">
        <v>36</v>
      </c>
      <c r="D264" t="s">
        <v>24</v>
      </c>
      <c r="E264" t="s">
        <v>20</v>
      </c>
      <c r="F264" s="3">
        <v>430.5</v>
      </c>
      <c r="G264">
        <v>8</v>
      </c>
      <c r="H264">
        <v>3.1</v>
      </c>
      <c r="I264" s="1" t="b">
        <v>0</v>
      </c>
      <c r="J264">
        <v>21</v>
      </c>
      <c r="K264" t="s">
        <v>18</v>
      </c>
      <c r="L264" t="str">
        <f xml:space="preserve"> IF(AND(Customer_Table[[#This Row],[Days Since Last Purchase]]&gt;21,Customer_Table[[#This Row],[Satisfaction Level]] = "Unsatisfied"), "At Risk", "Low Risk")</f>
        <v>Low Risk</v>
      </c>
      <c r="M264" t="str">
        <f t="shared" si="4"/>
        <v>36-40</v>
      </c>
      <c r="N264" t="str">
        <f xml:space="preserve"> IF(Customer_Table[[#This Row],[Total Spend]] &gt;= 1000, "High", IF(Customer_Table[[#This Row],[Total Spend]]&gt;= 600, "Medium", "Low"))</f>
        <v>Low</v>
      </c>
      <c r="O26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65" spans="1:15" x14ac:dyDescent="0.25">
      <c r="A265" s="1">
        <v>364</v>
      </c>
      <c r="B265" t="s">
        <v>11</v>
      </c>
      <c r="C265">
        <v>30</v>
      </c>
      <c r="D265" t="s">
        <v>12</v>
      </c>
      <c r="E265" t="s">
        <v>13</v>
      </c>
      <c r="F265" s="3">
        <v>1200.8</v>
      </c>
      <c r="G265">
        <v>16</v>
      </c>
      <c r="H265">
        <v>4.7</v>
      </c>
      <c r="I265" s="1" t="b">
        <v>1</v>
      </c>
      <c r="J265">
        <v>22</v>
      </c>
      <c r="K265" t="s">
        <v>14</v>
      </c>
      <c r="L265" t="str">
        <f xml:space="preserve"> IF(AND(Customer_Table[[#This Row],[Days Since Last Purchase]]&gt;21,Customer_Table[[#This Row],[Satisfaction Level]] = "Unsatisfied"), "At Risk", "Low Risk")</f>
        <v>Low Risk</v>
      </c>
      <c r="M265" t="str">
        <f t="shared" si="4"/>
        <v>26-30</v>
      </c>
      <c r="N265" t="str">
        <f xml:space="preserve"> IF(Customer_Table[[#This Row],[Total Spend]] &gt;= 1000, "High", IF(Customer_Table[[#This Row],[Total Spend]]&gt;= 600, "Medium", "Low"))</f>
        <v>High</v>
      </c>
      <c r="O26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66" spans="1:15" x14ac:dyDescent="0.25">
      <c r="A266" s="1">
        <v>365</v>
      </c>
      <c r="B266" t="s">
        <v>15</v>
      </c>
      <c r="C266">
        <v>34</v>
      </c>
      <c r="D266" t="s">
        <v>16</v>
      </c>
      <c r="E266" t="s">
        <v>17</v>
      </c>
      <c r="F266" s="3">
        <v>780.2</v>
      </c>
      <c r="G266">
        <v>11</v>
      </c>
      <c r="H266">
        <v>4.0999999999999996</v>
      </c>
      <c r="I266" s="1" t="b">
        <v>0</v>
      </c>
      <c r="J266">
        <v>16</v>
      </c>
      <c r="K266" t="s">
        <v>18</v>
      </c>
      <c r="L266" t="str">
        <f xml:space="preserve"> IF(AND(Customer_Table[[#This Row],[Days Since Last Purchase]]&gt;21,Customer_Table[[#This Row],[Satisfaction Level]] = "Unsatisfied"), "At Risk", "Low Risk")</f>
        <v>Low Risk</v>
      </c>
      <c r="M266" t="str">
        <f t="shared" si="4"/>
        <v>31-35</v>
      </c>
      <c r="N266" t="str">
        <f xml:space="preserve"> IF(Customer_Table[[#This Row],[Total Spend]] &gt;= 1000, "High", IF(Customer_Table[[#This Row],[Total Spend]]&gt;= 600, "Medium", "Low"))</f>
        <v>Medium</v>
      </c>
      <c r="O26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67" spans="1:15" x14ac:dyDescent="0.25">
      <c r="A267" s="1">
        <v>366</v>
      </c>
      <c r="B267" t="s">
        <v>11</v>
      </c>
      <c r="C267">
        <v>43</v>
      </c>
      <c r="D267" t="s">
        <v>19</v>
      </c>
      <c r="E267" t="s">
        <v>20</v>
      </c>
      <c r="F267" s="3">
        <v>505.75</v>
      </c>
      <c r="G267">
        <v>10</v>
      </c>
      <c r="H267">
        <v>3.3</v>
      </c>
      <c r="I267" s="1" t="b">
        <v>1</v>
      </c>
      <c r="J267">
        <v>42</v>
      </c>
      <c r="K267" t="s">
        <v>21</v>
      </c>
      <c r="L267" t="str">
        <f xml:space="preserve"> IF(AND(Customer_Table[[#This Row],[Days Since Last Purchase]]&gt;21,Customer_Table[[#This Row],[Satisfaction Level]] = "Unsatisfied"), "At Risk", "Low Risk")</f>
        <v>At Risk</v>
      </c>
      <c r="M267" t="str">
        <f t="shared" si="4"/>
        <v>41-43</v>
      </c>
      <c r="N267" t="str">
        <f xml:space="preserve"> IF(Customer_Table[[#This Row],[Total Spend]] &gt;= 1000, "High", IF(Customer_Table[[#This Row],[Total Spend]]&gt;= 600, "Medium", "Low"))</f>
        <v>Low</v>
      </c>
      <c r="O26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68" spans="1:15" x14ac:dyDescent="0.25">
      <c r="A268" s="1">
        <v>367</v>
      </c>
      <c r="B268" t="s">
        <v>15</v>
      </c>
      <c r="C268">
        <v>30</v>
      </c>
      <c r="D268" t="s">
        <v>22</v>
      </c>
      <c r="E268" t="s">
        <v>13</v>
      </c>
      <c r="F268" s="3">
        <v>1460.5</v>
      </c>
      <c r="G268">
        <v>20</v>
      </c>
      <c r="H268">
        <v>4.8</v>
      </c>
      <c r="I268" s="1" t="b">
        <v>0</v>
      </c>
      <c r="J268">
        <v>13</v>
      </c>
      <c r="K268" t="s">
        <v>14</v>
      </c>
      <c r="L268" t="str">
        <f xml:space="preserve"> IF(AND(Customer_Table[[#This Row],[Days Since Last Purchase]]&gt;21,Customer_Table[[#This Row],[Satisfaction Level]] = "Unsatisfied"), "At Risk", "Low Risk")</f>
        <v>Low Risk</v>
      </c>
      <c r="M268" t="str">
        <f t="shared" si="4"/>
        <v>26-30</v>
      </c>
      <c r="N268" t="str">
        <f xml:space="preserve"> IF(Customer_Table[[#This Row],[Total Spend]] &gt;= 1000, "High", IF(Customer_Table[[#This Row],[Total Spend]]&gt;= 600, "Medium", "Low"))</f>
        <v>High</v>
      </c>
      <c r="O26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69" spans="1:15" x14ac:dyDescent="0.25">
      <c r="A269" s="1">
        <v>368</v>
      </c>
      <c r="B269" t="s">
        <v>15</v>
      </c>
      <c r="C269">
        <v>27</v>
      </c>
      <c r="D269" t="s">
        <v>23</v>
      </c>
      <c r="E269" t="s">
        <v>17</v>
      </c>
      <c r="F269" s="3">
        <v>710.4</v>
      </c>
      <c r="G269">
        <v>13</v>
      </c>
      <c r="H269">
        <v>4.0999999999999996</v>
      </c>
      <c r="I269" s="1" t="b">
        <v>1</v>
      </c>
      <c r="J269">
        <v>57</v>
      </c>
      <c r="K269" t="s">
        <v>21</v>
      </c>
      <c r="L269" t="str">
        <f xml:space="preserve"> IF(AND(Customer_Table[[#This Row],[Days Since Last Purchase]]&gt;21,Customer_Table[[#This Row],[Satisfaction Level]] = "Unsatisfied"), "At Risk", "Low Risk")</f>
        <v>At Risk</v>
      </c>
      <c r="M269" t="str">
        <f t="shared" si="4"/>
        <v>26-30</v>
      </c>
      <c r="N269" t="str">
        <f xml:space="preserve"> IF(Customer_Table[[#This Row],[Total Spend]] &gt;= 1000, "High", IF(Customer_Table[[#This Row],[Total Spend]]&gt;= 600, "Medium", "Low"))</f>
        <v>Medium</v>
      </c>
      <c r="O26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270" spans="1:15" x14ac:dyDescent="0.25">
      <c r="A270" s="1">
        <v>369</v>
      </c>
      <c r="B270" t="s">
        <v>11</v>
      </c>
      <c r="C270">
        <v>37</v>
      </c>
      <c r="D270" t="s">
        <v>24</v>
      </c>
      <c r="E270" t="s">
        <v>20</v>
      </c>
      <c r="F270" s="3">
        <v>450.8</v>
      </c>
      <c r="G270">
        <v>7</v>
      </c>
      <c r="H270">
        <v>3.4</v>
      </c>
      <c r="I270" s="1" t="b">
        <v>0</v>
      </c>
      <c r="J270">
        <v>24</v>
      </c>
      <c r="K270" t="s">
        <v>18</v>
      </c>
      <c r="L270" t="str">
        <f xml:space="preserve"> IF(AND(Customer_Table[[#This Row],[Days Since Last Purchase]]&gt;21,Customer_Table[[#This Row],[Satisfaction Level]] = "Unsatisfied"), "At Risk", "Low Risk")</f>
        <v>Low Risk</v>
      </c>
      <c r="M270" t="str">
        <f t="shared" si="4"/>
        <v>36-40</v>
      </c>
      <c r="N270" t="str">
        <f xml:space="preserve"> IF(Customer_Table[[#This Row],[Total Spend]] &gt;= 1000, "High", IF(Customer_Table[[#This Row],[Total Spend]]&gt;= 600, "Medium", "Low"))</f>
        <v>Low</v>
      </c>
      <c r="O27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71" spans="1:15" x14ac:dyDescent="0.25">
      <c r="A271" s="1">
        <v>370</v>
      </c>
      <c r="B271" t="s">
        <v>11</v>
      </c>
      <c r="C271">
        <v>31</v>
      </c>
      <c r="D271" t="s">
        <v>12</v>
      </c>
      <c r="E271" t="s">
        <v>13</v>
      </c>
      <c r="F271" s="3">
        <v>1140.5999999999999</v>
      </c>
      <c r="G271">
        <v>15</v>
      </c>
      <c r="H271">
        <v>4.5</v>
      </c>
      <c r="I271" s="1" t="b">
        <v>1</v>
      </c>
      <c r="J271">
        <v>30</v>
      </c>
      <c r="K271" t="s">
        <v>14</v>
      </c>
      <c r="L271" t="str">
        <f xml:space="preserve"> IF(AND(Customer_Table[[#This Row],[Days Since Last Purchase]]&gt;21,Customer_Table[[#This Row],[Satisfaction Level]] = "Unsatisfied"), "At Risk", "Low Risk")</f>
        <v>Low Risk</v>
      </c>
      <c r="M271" t="str">
        <f t="shared" si="4"/>
        <v>31-35</v>
      </c>
      <c r="N271" t="str">
        <f xml:space="preserve"> IF(Customer_Table[[#This Row],[Total Spend]] &gt;= 1000, "High", IF(Customer_Table[[#This Row],[Total Spend]]&gt;= 600, "Medium", "Low"))</f>
        <v>High</v>
      </c>
      <c r="O27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72" spans="1:15" x14ac:dyDescent="0.25">
      <c r="A272" s="1">
        <v>371</v>
      </c>
      <c r="B272" t="s">
        <v>15</v>
      </c>
      <c r="C272">
        <v>35</v>
      </c>
      <c r="D272" t="s">
        <v>16</v>
      </c>
      <c r="E272" t="s">
        <v>17</v>
      </c>
      <c r="F272" s="3">
        <v>800.9</v>
      </c>
      <c r="G272">
        <v>12</v>
      </c>
      <c r="H272">
        <v>4.0999999999999996</v>
      </c>
      <c r="I272" s="1" t="b">
        <v>0</v>
      </c>
      <c r="J272">
        <v>17</v>
      </c>
      <c r="K272" t="s">
        <v>18</v>
      </c>
      <c r="L272" t="str">
        <f xml:space="preserve"> IF(AND(Customer_Table[[#This Row],[Days Since Last Purchase]]&gt;21,Customer_Table[[#This Row],[Satisfaction Level]] = "Unsatisfied"), "At Risk", "Low Risk")</f>
        <v>Low Risk</v>
      </c>
      <c r="M272" t="str">
        <f t="shared" si="4"/>
        <v>31-35</v>
      </c>
      <c r="N272" t="str">
        <f xml:space="preserve"> IF(Customer_Table[[#This Row],[Total Spend]] &gt;= 1000, "High", IF(Customer_Table[[#This Row],[Total Spend]]&gt;= 600, "Medium", "Low"))</f>
        <v>Medium</v>
      </c>
      <c r="O27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73" spans="1:15" x14ac:dyDescent="0.25">
      <c r="A273" s="1">
        <v>372</v>
      </c>
      <c r="B273" t="s">
        <v>11</v>
      </c>
      <c r="C273">
        <v>41</v>
      </c>
      <c r="D273" t="s">
        <v>19</v>
      </c>
      <c r="E273" t="s">
        <v>20</v>
      </c>
      <c r="F273" s="3">
        <v>475.25</v>
      </c>
      <c r="G273">
        <v>9</v>
      </c>
      <c r="H273">
        <v>3.6</v>
      </c>
      <c r="I273" s="1" t="b">
        <v>1</v>
      </c>
      <c r="J273">
        <v>42</v>
      </c>
      <c r="K273" t="s">
        <v>21</v>
      </c>
      <c r="L273" t="str">
        <f xml:space="preserve"> IF(AND(Customer_Table[[#This Row],[Days Since Last Purchase]]&gt;21,Customer_Table[[#This Row],[Satisfaction Level]] = "Unsatisfied"), "At Risk", "Low Risk")</f>
        <v>At Risk</v>
      </c>
      <c r="M273" t="str">
        <f t="shared" si="4"/>
        <v>41-43</v>
      </c>
      <c r="N273" t="str">
        <f xml:space="preserve"> IF(Customer_Table[[#This Row],[Total Spend]] &gt;= 1000, "High", IF(Customer_Table[[#This Row],[Total Spend]]&gt;= 600, "Medium", "Low"))</f>
        <v>Low</v>
      </c>
      <c r="O27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74" spans="1:15" x14ac:dyDescent="0.25">
      <c r="A274" s="1">
        <v>373</v>
      </c>
      <c r="B274" t="s">
        <v>15</v>
      </c>
      <c r="C274">
        <v>28</v>
      </c>
      <c r="D274" t="s">
        <v>22</v>
      </c>
      <c r="E274" t="s">
        <v>13</v>
      </c>
      <c r="F274" s="3">
        <v>1480.1</v>
      </c>
      <c r="G274">
        <v>21</v>
      </c>
      <c r="H274">
        <v>4.9000000000000004</v>
      </c>
      <c r="I274" s="1" t="b">
        <v>0</v>
      </c>
      <c r="J274">
        <v>11</v>
      </c>
      <c r="K274" t="s">
        <v>14</v>
      </c>
      <c r="L274" t="str">
        <f xml:space="preserve"> IF(AND(Customer_Table[[#This Row],[Days Since Last Purchase]]&gt;21,Customer_Table[[#This Row],[Satisfaction Level]] = "Unsatisfied"), "At Risk", "Low Risk")</f>
        <v>Low Risk</v>
      </c>
      <c r="M274" t="str">
        <f t="shared" si="4"/>
        <v>26-30</v>
      </c>
      <c r="N274" t="str">
        <f xml:space="preserve"> IF(Customer_Table[[#This Row],[Total Spend]] &gt;= 1000, "High", IF(Customer_Table[[#This Row],[Total Spend]]&gt;= 600, "Medium", "Low"))</f>
        <v>High</v>
      </c>
      <c r="O27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75" spans="1:15" x14ac:dyDescent="0.25">
      <c r="A275" s="1">
        <v>374</v>
      </c>
      <c r="B275" t="s">
        <v>15</v>
      </c>
      <c r="C275">
        <v>32</v>
      </c>
      <c r="D275" t="s">
        <v>23</v>
      </c>
      <c r="E275" t="s">
        <v>17</v>
      </c>
      <c r="F275" s="3">
        <v>660.3</v>
      </c>
      <c r="G275">
        <v>10</v>
      </c>
      <c r="H275">
        <v>3.8</v>
      </c>
      <c r="I275" s="1" t="b">
        <v>1</v>
      </c>
      <c r="J275">
        <v>36</v>
      </c>
      <c r="K275" t="s">
        <v>21</v>
      </c>
      <c r="L275" t="str">
        <f xml:space="preserve"> IF(AND(Customer_Table[[#This Row],[Days Since Last Purchase]]&gt;21,Customer_Table[[#This Row],[Satisfaction Level]] = "Unsatisfied"), "At Risk", "Low Risk")</f>
        <v>At Risk</v>
      </c>
      <c r="M275" t="str">
        <f t="shared" si="4"/>
        <v>31-35</v>
      </c>
      <c r="N275" t="str">
        <f xml:space="preserve"> IF(Customer_Table[[#This Row],[Total Spend]] &gt;= 1000, "High", IF(Customer_Table[[#This Row],[Total Spend]]&gt;= 600, "Medium", "Low"))</f>
        <v>Medium</v>
      </c>
      <c r="O27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76" spans="1:15" x14ac:dyDescent="0.25">
      <c r="A276" s="1">
        <v>375</v>
      </c>
      <c r="B276" t="s">
        <v>11</v>
      </c>
      <c r="C276">
        <v>36</v>
      </c>
      <c r="D276" t="s">
        <v>24</v>
      </c>
      <c r="E276" t="s">
        <v>20</v>
      </c>
      <c r="F276" s="3">
        <v>470.5</v>
      </c>
      <c r="G276">
        <v>8</v>
      </c>
      <c r="H276">
        <v>3</v>
      </c>
      <c r="I276" s="1" t="b">
        <v>0</v>
      </c>
      <c r="J276">
        <v>22</v>
      </c>
      <c r="K276" t="s">
        <v>18</v>
      </c>
      <c r="L276" t="str">
        <f xml:space="preserve"> IF(AND(Customer_Table[[#This Row],[Days Since Last Purchase]]&gt;21,Customer_Table[[#This Row],[Satisfaction Level]] = "Unsatisfied"), "At Risk", "Low Risk")</f>
        <v>Low Risk</v>
      </c>
      <c r="M276" t="str">
        <f t="shared" si="4"/>
        <v>36-40</v>
      </c>
      <c r="N276" t="str">
        <f xml:space="preserve"> IF(Customer_Table[[#This Row],[Total Spend]] &gt;= 1000, "High", IF(Customer_Table[[#This Row],[Total Spend]]&gt;= 600, "Medium", "Low"))</f>
        <v>Low</v>
      </c>
      <c r="O27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77" spans="1:15" x14ac:dyDescent="0.25">
      <c r="A277" s="1">
        <v>376</v>
      </c>
      <c r="B277" t="s">
        <v>11</v>
      </c>
      <c r="C277">
        <v>30</v>
      </c>
      <c r="D277" t="s">
        <v>12</v>
      </c>
      <c r="E277" t="s">
        <v>13</v>
      </c>
      <c r="F277" s="3">
        <v>1190.8</v>
      </c>
      <c r="G277">
        <v>16</v>
      </c>
      <c r="H277">
        <v>4.5</v>
      </c>
      <c r="I277" s="1" t="b">
        <v>1</v>
      </c>
      <c r="J277">
        <v>23</v>
      </c>
      <c r="K277" t="s">
        <v>14</v>
      </c>
      <c r="L277" t="str">
        <f xml:space="preserve"> IF(AND(Customer_Table[[#This Row],[Days Since Last Purchase]]&gt;21,Customer_Table[[#This Row],[Satisfaction Level]] = "Unsatisfied"), "At Risk", "Low Risk")</f>
        <v>Low Risk</v>
      </c>
      <c r="M277" t="str">
        <f t="shared" si="4"/>
        <v>26-30</v>
      </c>
      <c r="N277" t="str">
        <f xml:space="preserve"> IF(Customer_Table[[#This Row],[Total Spend]] &gt;= 1000, "High", IF(Customer_Table[[#This Row],[Total Spend]]&gt;= 600, "Medium", "Low"))</f>
        <v>High</v>
      </c>
      <c r="O27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78" spans="1:15" x14ac:dyDescent="0.25">
      <c r="A278" s="1">
        <v>377</v>
      </c>
      <c r="B278" t="s">
        <v>15</v>
      </c>
      <c r="C278">
        <v>33</v>
      </c>
      <c r="D278" t="s">
        <v>16</v>
      </c>
      <c r="E278" t="s">
        <v>17</v>
      </c>
      <c r="F278" s="3">
        <v>770.2</v>
      </c>
      <c r="G278">
        <v>11</v>
      </c>
      <c r="H278">
        <v>4.2</v>
      </c>
      <c r="I278" s="1" t="b">
        <v>0</v>
      </c>
      <c r="J278">
        <v>18</v>
      </c>
      <c r="K278" t="s">
        <v>18</v>
      </c>
      <c r="L278" t="str">
        <f xml:space="preserve"> IF(AND(Customer_Table[[#This Row],[Days Since Last Purchase]]&gt;21,Customer_Table[[#This Row],[Satisfaction Level]] = "Unsatisfied"), "At Risk", "Low Risk")</f>
        <v>Low Risk</v>
      </c>
      <c r="M278" t="str">
        <f t="shared" si="4"/>
        <v>31-35</v>
      </c>
      <c r="N278" t="str">
        <f xml:space="preserve"> IF(Customer_Table[[#This Row],[Total Spend]] &gt;= 1000, "High", IF(Customer_Table[[#This Row],[Total Spend]]&gt;= 600, "Medium", "Low"))</f>
        <v>Medium</v>
      </c>
      <c r="O27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79" spans="1:15" x14ac:dyDescent="0.25">
      <c r="A279" s="1">
        <v>378</v>
      </c>
      <c r="B279" t="s">
        <v>11</v>
      </c>
      <c r="C279">
        <v>43</v>
      </c>
      <c r="D279" t="s">
        <v>19</v>
      </c>
      <c r="E279" t="s">
        <v>20</v>
      </c>
      <c r="F279" s="3">
        <v>515.75</v>
      </c>
      <c r="G279">
        <v>10</v>
      </c>
      <c r="H279">
        <v>3.3</v>
      </c>
      <c r="I279" s="1" t="b">
        <v>1</v>
      </c>
      <c r="J279">
        <v>43</v>
      </c>
      <c r="K279" t="s">
        <v>21</v>
      </c>
      <c r="L279" t="str">
        <f xml:space="preserve"> IF(AND(Customer_Table[[#This Row],[Days Since Last Purchase]]&gt;21,Customer_Table[[#This Row],[Satisfaction Level]] = "Unsatisfied"), "At Risk", "Low Risk")</f>
        <v>At Risk</v>
      </c>
      <c r="M279" t="str">
        <f t="shared" si="4"/>
        <v>41-43</v>
      </c>
      <c r="N279" t="str">
        <f xml:space="preserve"> IF(Customer_Table[[#This Row],[Total Spend]] &gt;= 1000, "High", IF(Customer_Table[[#This Row],[Total Spend]]&gt;= 600, "Medium", "Low"))</f>
        <v>Low</v>
      </c>
      <c r="O27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80" spans="1:15" x14ac:dyDescent="0.25">
      <c r="A280" s="1">
        <v>379</v>
      </c>
      <c r="B280" t="s">
        <v>15</v>
      </c>
      <c r="C280">
        <v>30</v>
      </c>
      <c r="D280" t="s">
        <v>22</v>
      </c>
      <c r="E280" t="s">
        <v>13</v>
      </c>
      <c r="F280" s="3">
        <v>1450.5</v>
      </c>
      <c r="G280">
        <v>19</v>
      </c>
      <c r="H280">
        <v>4.5999999999999996</v>
      </c>
      <c r="I280" s="1" t="b">
        <v>0</v>
      </c>
      <c r="J280">
        <v>12</v>
      </c>
      <c r="K280" t="s">
        <v>14</v>
      </c>
      <c r="L280" t="str">
        <f xml:space="preserve"> IF(AND(Customer_Table[[#This Row],[Days Since Last Purchase]]&gt;21,Customer_Table[[#This Row],[Satisfaction Level]] = "Unsatisfied"), "At Risk", "Low Risk")</f>
        <v>Low Risk</v>
      </c>
      <c r="M280" t="str">
        <f t="shared" si="4"/>
        <v>26-30</v>
      </c>
      <c r="N280" t="str">
        <f xml:space="preserve"> IF(Customer_Table[[#This Row],[Total Spend]] &gt;= 1000, "High", IF(Customer_Table[[#This Row],[Total Spend]]&gt;= 600, "Medium", "Low"))</f>
        <v>High</v>
      </c>
      <c r="O28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81" spans="1:15" x14ac:dyDescent="0.25">
      <c r="A281" s="1">
        <v>380</v>
      </c>
      <c r="B281" t="s">
        <v>15</v>
      </c>
      <c r="C281">
        <v>27</v>
      </c>
      <c r="D281" t="s">
        <v>23</v>
      </c>
      <c r="E281" t="s">
        <v>17</v>
      </c>
      <c r="F281" s="3">
        <v>710.4</v>
      </c>
      <c r="G281">
        <v>13</v>
      </c>
      <c r="H281">
        <v>4.0999999999999996</v>
      </c>
      <c r="I281" s="1" t="b">
        <v>1</v>
      </c>
      <c r="J281">
        <v>58</v>
      </c>
      <c r="K281" t="s">
        <v>21</v>
      </c>
      <c r="L281" t="str">
        <f xml:space="preserve"> IF(AND(Customer_Table[[#This Row],[Days Since Last Purchase]]&gt;21,Customer_Table[[#This Row],[Satisfaction Level]] = "Unsatisfied"), "At Risk", "Low Risk")</f>
        <v>At Risk</v>
      </c>
      <c r="M281" t="str">
        <f t="shared" si="4"/>
        <v>26-30</v>
      </c>
      <c r="N281" t="str">
        <f xml:space="preserve"> IF(Customer_Table[[#This Row],[Total Spend]] &gt;= 1000, "High", IF(Customer_Table[[#This Row],[Total Spend]]&gt;= 600, "Medium", "Low"))</f>
        <v>Medium</v>
      </c>
      <c r="O28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282" spans="1:15" x14ac:dyDescent="0.25">
      <c r="A282" s="1">
        <v>381</v>
      </c>
      <c r="B282" t="s">
        <v>11</v>
      </c>
      <c r="C282">
        <v>37</v>
      </c>
      <c r="D282" t="s">
        <v>24</v>
      </c>
      <c r="E282" t="s">
        <v>20</v>
      </c>
      <c r="F282" s="3">
        <v>430.8</v>
      </c>
      <c r="G282">
        <v>7</v>
      </c>
      <c r="H282">
        <v>3.4</v>
      </c>
      <c r="I282" s="1" t="b">
        <v>0</v>
      </c>
      <c r="J282">
        <v>27</v>
      </c>
      <c r="K282" t="s">
        <v>18</v>
      </c>
      <c r="L282" t="str">
        <f xml:space="preserve"> IF(AND(Customer_Table[[#This Row],[Days Since Last Purchase]]&gt;21,Customer_Table[[#This Row],[Satisfaction Level]] = "Unsatisfied"), "At Risk", "Low Risk")</f>
        <v>Low Risk</v>
      </c>
      <c r="M282" t="str">
        <f t="shared" si="4"/>
        <v>36-40</v>
      </c>
      <c r="N282" t="str">
        <f xml:space="preserve"> IF(Customer_Table[[#This Row],[Total Spend]] &gt;= 1000, "High", IF(Customer_Table[[#This Row],[Total Spend]]&gt;= 600, "Medium", "Low"))</f>
        <v>Low</v>
      </c>
      <c r="O28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83" spans="1:15" x14ac:dyDescent="0.25">
      <c r="A283" s="1">
        <v>382</v>
      </c>
      <c r="B283" t="s">
        <v>11</v>
      </c>
      <c r="C283">
        <v>31</v>
      </c>
      <c r="D283" t="s">
        <v>12</v>
      </c>
      <c r="E283" t="s">
        <v>13</v>
      </c>
      <c r="F283" s="3">
        <v>1160.5999999999999</v>
      </c>
      <c r="G283">
        <v>15</v>
      </c>
      <c r="H283">
        <v>4.5</v>
      </c>
      <c r="I283" s="1" t="b">
        <v>1</v>
      </c>
      <c r="J283">
        <v>31</v>
      </c>
      <c r="K283" t="s">
        <v>14</v>
      </c>
      <c r="L283" t="str">
        <f xml:space="preserve"> IF(AND(Customer_Table[[#This Row],[Days Since Last Purchase]]&gt;21,Customer_Table[[#This Row],[Satisfaction Level]] = "Unsatisfied"), "At Risk", "Low Risk")</f>
        <v>Low Risk</v>
      </c>
      <c r="M283" t="str">
        <f t="shared" si="4"/>
        <v>31-35</v>
      </c>
      <c r="N283" t="str">
        <f xml:space="preserve"> IF(Customer_Table[[#This Row],[Total Spend]] &gt;= 1000, "High", IF(Customer_Table[[#This Row],[Total Spend]]&gt;= 600, "Medium", "Low"))</f>
        <v>High</v>
      </c>
      <c r="O28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84" spans="1:15" x14ac:dyDescent="0.25">
      <c r="A284" s="1">
        <v>383</v>
      </c>
      <c r="B284" t="s">
        <v>15</v>
      </c>
      <c r="C284">
        <v>35</v>
      </c>
      <c r="D284" t="s">
        <v>16</v>
      </c>
      <c r="E284" t="s">
        <v>17</v>
      </c>
      <c r="F284" s="3">
        <v>820.9</v>
      </c>
      <c r="G284">
        <v>12</v>
      </c>
      <c r="H284">
        <v>4.3</v>
      </c>
      <c r="I284" s="1" t="b">
        <v>0</v>
      </c>
      <c r="J284">
        <v>15</v>
      </c>
      <c r="K284" t="s">
        <v>18</v>
      </c>
      <c r="L284" t="str">
        <f xml:space="preserve"> IF(AND(Customer_Table[[#This Row],[Days Since Last Purchase]]&gt;21,Customer_Table[[#This Row],[Satisfaction Level]] = "Unsatisfied"), "At Risk", "Low Risk")</f>
        <v>Low Risk</v>
      </c>
      <c r="M284" t="str">
        <f t="shared" si="4"/>
        <v>31-35</v>
      </c>
      <c r="N284" t="str">
        <f xml:space="preserve"> IF(Customer_Table[[#This Row],[Total Spend]] &gt;= 1000, "High", IF(Customer_Table[[#This Row],[Total Spend]]&gt;= 600, "Medium", "Low"))</f>
        <v>Medium</v>
      </c>
      <c r="O28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85" spans="1:15" x14ac:dyDescent="0.25">
      <c r="A285" s="1">
        <v>384</v>
      </c>
      <c r="B285" t="s">
        <v>11</v>
      </c>
      <c r="C285">
        <v>41</v>
      </c>
      <c r="D285" t="s">
        <v>19</v>
      </c>
      <c r="E285" t="s">
        <v>20</v>
      </c>
      <c r="F285" s="3">
        <v>495.25</v>
      </c>
      <c r="G285">
        <v>9</v>
      </c>
      <c r="H285">
        <v>3.6</v>
      </c>
      <c r="I285" s="1" t="b">
        <v>1</v>
      </c>
      <c r="J285">
        <v>43</v>
      </c>
      <c r="K285" t="s">
        <v>21</v>
      </c>
      <c r="L285" t="str">
        <f xml:space="preserve"> IF(AND(Customer_Table[[#This Row],[Days Since Last Purchase]]&gt;21,Customer_Table[[#This Row],[Satisfaction Level]] = "Unsatisfied"), "At Risk", "Low Risk")</f>
        <v>At Risk</v>
      </c>
      <c r="M285" t="str">
        <f t="shared" si="4"/>
        <v>41-43</v>
      </c>
      <c r="N285" t="str">
        <f xml:space="preserve"> IF(Customer_Table[[#This Row],[Total Spend]] &gt;= 1000, "High", IF(Customer_Table[[#This Row],[Total Spend]]&gt;= 600, "Medium", "Low"))</f>
        <v>Low</v>
      </c>
      <c r="O28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86" spans="1:15" x14ac:dyDescent="0.25">
      <c r="A286" s="1">
        <v>385</v>
      </c>
      <c r="B286" t="s">
        <v>15</v>
      </c>
      <c r="C286">
        <v>28</v>
      </c>
      <c r="D286" t="s">
        <v>22</v>
      </c>
      <c r="E286" t="s">
        <v>13</v>
      </c>
      <c r="F286" s="3">
        <v>1490.1</v>
      </c>
      <c r="G286">
        <v>21</v>
      </c>
      <c r="H286">
        <v>4.9000000000000004</v>
      </c>
      <c r="I286" s="1" t="b">
        <v>0</v>
      </c>
      <c r="J286">
        <v>10</v>
      </c>
      <c r="K286" t="s">
        <v>14</v>
      </c>
      <c r="L286" t="str">
        <f xml:space="preserve"> IF(AND(Customer_Table[[#This Row],[Days Since Last Purchase]]&gt;21,Customer_Table[[#This Row],[Satisfaction Level]] = "Unsatisfied"), "At Risk", "Low Risk")</f>
        <v>Low Risk</v>
      </c>
      <c r="M286" t="str">
        <f t="shared" si="4"/>
        <v>26-30</v>
      </c>
      <c r="N286" t="str">
        <f xml:space="preserve"> IF(Customer_Table[[#This Row],[Total Spend]] &gt;= 1000, "High", IF(Customer_Table[[#This Row],[Total Spend]]&gt;= 600, "Medium", "Low"))</f>
        <v>High</v>
      </c>
      <c r="O28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87" spans="1:15" x14ac:dyDescent="0.25">
      <c r="A287" s="1">
        <v>386</v>
      </c>
      <c r="B287" t="s">
        <v>15</v>
      </c>
      <c r="C287">
        <v>32</v>
      </c>
      <c r="D287" t="s">
        <v>23</v>
      </c>
      <c r="E287" t="s">
        <v>17</v>
      </c>
      <c r="F287" s="3">
        <v>660.3</v>
      </c>
      <c r="G287">
        <v>10</v>
      </c>
      <c r="H287">
        <v>3.8</v>
      </c>
      <c r="I287" s="1" t="b">
        <v>1</v>
      </c>
      <c r="J287">
        <v>37</v>
      </c>
      <c r="K287" t="s">
        <v>21</v>
      </c>
      <c r="L287" t="str">
        <f xml:space="preserve"> IF(AND(Customer_Table[[#This Row],[Days Since Last Purchase]]&gt;21,Customer_Table[[#This Row],[Satisfaction Level]] = "Unsatisfied"), "At Risk", "Low Risk")</f>
        <v>At Risk</v>
      </c>
      <c r="M287" t="str">
        <f t="shared" si="4"/>
        <v>31-35</v>
      </c>
      <c r="N287" t="str">
        <f xml:space="preserve"> IF(Customer_Table[[#This Row],[Total Spend]] &gt;= 1000, "High", IF(Customer_Table[[#This Row],[Total Spend]]&gt;= 600, "Medium", "Low"))</f>
        <v>Medium</v>
      </c>
      <c r="O28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288" spans="1:15" x14ac:dyDescent="0.25">
      <c r="A288" s="1">
        <v>387</v>
      </c>
      <c r="B288" t="s">
        <v>11</v>
      </c>
      <c r="C288">
        <v>36</v>
      </c>
      <c r="D288" t="s">
        <v>24</v>
      </c>
      <c r="E288" t="s">
        <v>20</v>
      </c>
      <c r="F288" s="3">
        <v>440.5</v>
      </c>
      <c r="G288">
        <v>8</v>
      </c>
      <c r="H288">
        <v>3.1</v>
      </c>
      <c r="I288" s="1" t="b">
        <v>0</v>
      </c>
      <c r="J288">
        <v>23</v>
      </c>
      <c r="K288" t="s">
        <v>18</v>
      </c>
      <c r="L288" t="str">
        <f xml:space="preserve"> IF(AND(Customer_Table[[#This Row],[Days Since Last Purchase]]&gt;21,Customer_Table[[#This Row],[Satisfaction Level]] = "Unsatisfied"), "At Risk", "Low Risk")</f>
        <v>Low Risk</v>
      </c>
      <c r="M288" t="str">
        <f t="shared" si="4"/>
        <v>36-40</v>
      </c>
      <c r="N288" t="str">
        <f xml:space="preserve"> IF(Customer_Table[[#This Row],[Total Spend]] &gt;= 1000, "High", IF(Customer_Table[[#This Row],[Total Spend]]&gt;= 600, "Medium", "Low"))</f>
        <v>Low</v>
      </c>
      <c r="O28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89" spans="1:15" x14ac:dyDescent="0.25">
      <c r="A289" s="1">
        <v>388</v>
      </c>
      <c r="B289" t="s">
        <v>11</v>
      </c>
      <c r="C289">
        <v>30</v>
      </c>
      <c r="D289" t="s">
        <v>12</v>
      </c>
      <c r="E289" t="s">
        <v>13</v>
      </c>
      <c r="F289" s="3">
        <v>1200.8</v>
      </c>
      <c r="G289">
        <v>16</v>
      </c>
      <c r="H289">
        <v>4.7</v>
      </c>
      <c r="I289" s="1" t="b">
        <v>1</v>
      </c>
      <c r="J289">
        <v>24</v>
      </c>
      <c r="K289" t="s">
        <v>14</v>
      </c>
      <c r="L289" t="str">
        <f xml:space="preserve"> IF(AND(Customer_Table[[#This Row],[Days Since Last Purchase]]&gt;21,Customer_Table[[#This Row],[Satisfaction Level]] = "Unsatisfied"), "At Risk", "Low Risk")</f>
        <v>Low Risk</v>
      </c>
      <c r="M289" t="str">
        <f t="shared" si="4"/>
        <v>26-30</v>
      </c>
      <c r="N289" t="str">
        <f xml:space="preserve"> IF(Customer_Table[[#This Row],[Total Spend]] &gt;= 1000, "High", IF(Customer_Table[[#This Row],[Total Spend]]&gt;= 600, "Medium", "Low"))</f>
        <v>High</v>
      </c>
      <c r="O28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90" spans="1:15" x14ac:dyDescent="0.25">
      <c r="A290" s="1">
        <v>389</v>
      </c>
      <c r="B290" t="s">
        <v>15</v>
      </c>
      <c r="C290">
        <v>34</v>
      </c>
      <c r="D290" t="s">
        <v>16</v>
      </c>
      <c r="E290" t="s">
        <v>17</v>
      </c>
      <c r="F290" s="3">
        <v>780.2</v>
      </c>
      <c r="G290">
        <v>11</v>
      </c>
      <c r="H290">
        <v>4.0999999999999996</v>
      </c>
      <c r="I290" s="1" t="b">
        <v>0</v>
      </c>
      <c r="J290">
        <v>16</v>
      </c>
      <c r="K290" t="s">
        <v>18</v>
      </c>
      <c r="L290" t="str">
        <f xml:space="preserve"> IF(AND(Customer_Table[[#This Row],[Days Since Last Purchase]]&gt;21,Customer_Table[[#This Row],[Satisfaction Level]] = "Unsatisfied"), "At Risk", "Low Risk")</f>
        <v>Low Risk</v>
      </c>
      <c r="M290" t="str">
        <f t="shared" si="4"/>
        <v>31-35</v>
      </c>
      <c r="N290" t="str">
        <f xml:space="preserve"> IF(Customer_Table[[#This Row],[Total Spend]] &gt;= 1000, "High", IF(Customer_Table[[#This Row],[Total Spend]]&gt;= 600, "Medium", "Low"))</f>
        <v>Medium</v>
      </c>
      <c r="O29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91" spans="1:15" x14ac:dyDescent="0.25">
      <c r="A291" s="1">
        <v>390</v>
      </c>
      <c r="B291" t="s">
        <v>11</v>
      </c>
      <c r="C291">
        <v>43</v>
      </c>
      <c r="D291" t="s">
        <v>19</v>
      </c>
      <c r="E291" t="s">
        <v>20</v>
      </c>
      <c r="F291" s="3">
        <v>505.75</v>
      </c>
      <c r="G291">
        <v>10</v>
      </c>
      <c r="H291">
        <v>3.3</v>
      </c>
      <c r="I291" s="1" t="b">
        <v>1</v>
      </c>
      <c r="J291">
        <v>44</v>
      </c>
      <c r="K291" t="s">
        <v>21</v>
      </c>
      <c r="L291" t="str">
        <f xml:space="preserve"> IF(AND(Customer_Table[[#This Row],[Days Since Last Purchase]]&gt;21,Customer_Table[[#This Row],[Satisfaction Level]] = "Unsatisfied"), "At Risk", "Low Risk")</f>
        <v>At Risk</v>
      </c>
      <c r="M291" t="str">
        <f t="shared" si="4"/>
        <v>41-43</v>
      </c>
      <c r="N291" t="str">
        <f xml:space="preserve"> IF(Customer_Table[[#This Row],[Total Spend]] &gt;= 1000, "High", IF(Customer_Table[[#This Row],[Total Spend]]&gt;= 600, "Medium", "Low"))</f>
        <v>Low</v>
      </c>
      <c r="O29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92" spans="1:15" x14ac:dyDescent="0.25">
      <c r="A292" s="1">
        <v>391</v>
      </c>
      <c r="B292" t="s">
        <v>15</v>
      </c>
      <c r="C292">
        <v>30</v>
      </c>
      <c r="D292" t="s">
        <v>22</v>
      </c>
      <c r="E292" t="s">
        <v>13</v>
      </c>
      <c r="F292" s="3">
        <v>1460.5</v>
      </c>
      <c r="G292">
        <v>20</v>
      </c>
      <c r="H292">
        <v>4.8</v>
      </c>
      <c r="I292" s="1" t="b">
        <v>0</v>
      </c>
      <c r="J292">
        <v>13</v>
      </c>
      <c r="K292" t="s">
        <v>14</v>
      </c>
      <c r="L292" t="str">
        <f xml:space="preserve"> IF(AND(Customer_Table[[#This Row],[Days Since Last Purchase]]&gt;21,Customer_Table[[#This Row],[Satisfaction Level]] = "Unsatisfied"), "At Risk", "Low Risk")</f>
        <v>Low Risk</v>
      </c>
      <c r="M292" t="str">
        <f t="shared" si="4"/>
        <v>26-30</v>
      </c>
      <c r="N292" t="str">
        <f xml:space="preserve"> IF(Customer_Table[[#This Row],[Total Spend]] &gt;= 1000, "High", IF(Customer_Table[[#This Row],[Total Spend]]&gt;= 600, "Medium", "Low"))</f>
        <v>High</v>
      </c>
      <c r="O29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93" spans="1:15" x14ac:dyDescent="0.25">
      <c r="A293" s="1">
        <v>392</v>
      </c>
      <c r="B293" t="s">
        <v>15</v>
      </c>
      <c r="C293">
        <v>27</v>
      </c>
      <c r="D293" t="s">
        <v>23</v>
      </c>
      <c r="E293" t="s">
        <v>17</v>
      </c>
      <c r="F293" s="3">
        <v>710.4</v>
      </c>
      <c r="G293">
        <v>13</v>
      </c>
      <c r="H293">
        <v>4.0999999999999996</v>
      </c>
      <c r="I293" s="1" t="b">
        <v>1</v>
      </c>
      <c r="J293">
        <v>59</v>
      </c>
      <c r="K293" t="s">
        <v>21</v>
      </c>
      <c r="L293" t="str">
        <f xml:space="preserve"> IF(AND(Customer_Table[[#This Row],[Days Since Last Purchase]]&gt;21,Customer_Table[[#This Row],[Satisfaction Level]] = "Unsatisfied"), "At Risk", "Low Risk")</f>
        <v>At Risk</v>
      </c>
      <c r="M293" t="str">
        <f t="shared" si="4"/>
        <v>26-30</v>
      </c>
      <c r="N293" t="str">
        <f xml:space="preserve"> IF(Customer_Table[[#This Row],[Total Spend]] &gt;= 1000, "High", IF(Customer_Table[[#This Row],[Total Spend]]&gt;= 600, "Medium", "Low"))</f>
        <v>Medium</v>
      </c>
      <c r="O29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294" spans="1:15" x14ac:dyDescent="0.25">
      <c r="A294" s="1">
        <v>393</v>
      </c>
      <c r="B294" t="s">
        <v>11</v>
      </c>
      <c r="C294">
        <v>37</v>
      </c>
      <c r="D294" t="s">
        <v>24</v>
      </c>
      <c r="E294" t="s">
        <v>20</v>
      </c>
      <c r="F294" s="3">
        <v>450.8</v>
      </c>
      <c r="G294">
        <v>7</v>
      </c>
      <c r="H294">
        <v>3.4</v>
      </c>
      <c r="I294" s="1" t="b">
        <v>0</v>
      </c>
      <c r="J294">
        <v>28</v>
      </c>
      <c r="K294" t="s">
        <v>18</v>
      </c>
      <c r="L294" t="str">
        <f xml:space="preserve"> IF(AND(Customer_Table[[#This Row],[Days Since Last Purchase]]&gt;21,Customer_Table[[#This Row],[Satisfaction Level]] = "Unsatisfied"), "At Risk", "Low Risk")</f>
        <v>Low Risk</v>
      </c>
      <c r="M294" t="str">
        <f t="shared" si="4"/>
        <v>36-40</v>
      </c>
      <c r="N294" t="str">
        <f xml:space="preserve"> IF(Customer_Table[[#This Row],[Total Spend]] &gt;= 1000, "High", IF(Customer_Table[[#This Row],[Total Spend]]&gt;= 600, "Medium", "Low"))</f>
        <v>Low</v>
      </c>
      <c r="O29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295" spans="1:15" x14ac:dyDescent="0.25">
      <c r="A295" s="1">
        <v>394</v>
      </c>
      <c r="B295" t="s">
        <v>11</v>
      </c>
      <c r="C295">
        <v>31</v>
      </c>
      <c r="D295" t="s">
        <v>12</v>
      </c>
      <c r="E295" t="s">
        <v>13</v>
      </c>
      <c r="F295" s="3">
        <v>1140.5999999999999</v>
      </c>
      <c r="G295">
        <v>15</v>
      </c>
      <c r="H295">
        <v>4.5</v>
      </c>
      <c r="I295" s="1" t="b">
        <v>1</v>
      </c>
      <c r="J295">
        <v>32</v>
      </c>
      <c r="K295" t="s">
        <v>14</v>
      </c>
      <c r="L295" t="str">
        <f xml:space="preserve"> IF(AND(Customer_Table[[#This Row],[Days Since Last Purchase]]&gt;21,Customer_Table[[#This Row],[Satisfaction Level]] = "Unsatisfied"), "At Risk", "Low Risk")</f>
        <v>Low Risk</v>
      </c>
      <c r="M295" t="str">
        <f t="shared" si="4"/>
        <v>31-35</v>
      </c>
      <c r="N295" t="str">
        <f xml:space="preserve"> IF(Customer_Table[[#This Row],[Total Spend]] &gt;= 1000, "High", IF(Customer_Table[[#This Row],[Total Spend]]&gt;= 600, "Medium", "Low"))</f>
        <v>High</v>
      </c>
      <c r="O29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296" spans="1:15" x14ac:dyDescent="0.25">
      <c r="A296" s="1">
        <v>395</v>
      </c>
      <c r="B296" t="s">
        <v>15</v>
      </c>
      <c r="C296">
        <v>35</v>
      </c>
      <c r="D296" t="s">
        <v>16</v>
      </c>
      <c r="E296" t="s">
        <v>17</v>
      </c>
      <c r="F296" s="3">
        <v>800.9</v>
      </c>
      <c r="G296">
        <v>12</v>
      </c>
      <c r="H296">
        <v>4.0999999999999996</v>
      </c>
      <c r="I296" s="1" t="b">
        <v>0</v>
      </c>
      <c r="J296">
        <v>17</v>
      </c>
      <c r="K296" t="s">
        <v>18</v>
      </c>
      <c r="L296" t="str">
        <f xml:space="preserve"> IF(AND(Customer_Table[[#This Row],[Days Since Last Purchase]]&gt;21,Customer_Table[[#This Row],[Satisfaction Level]] = "Unsatisfied"), "At Risk", "Low Risk")</f>
        <v>Low Risk</v>
      </c>
      <c r="M296" t="str">
        <f t="shared" si="4"/>
        <v>31-35</v>
      </c>
      <c r="N296" t="str">
        <f xml:space="preserve"> IF(Customer_Table[[#This Row],[Total Spend]] &gt;= 1000, "High", IF(Customer_Table[[#This Row],[Total Spend]]&gt;= 600, "Medium", "Low"))</f>
        <v>Medium</v>
      </c>
      <c r="O29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297" spans="1:15" x14ac:dyDescent="0.25">
      <c r="A297" s="1">
        <v>396</v>
      </c>
      <c r="B297" t="s">
        <v>11</v>
      </c>
      <c r="C297">
        <v>41</v>
      </c>
      <c r="D297" t="s">
        <v>19</v>
      </c>
      <c r="E297" t="s">
        <v>20</v>
      </c>
      <c r="F297" s="3">
        <v>475.25</v>
      </c>
      <c r="G297">
        <v>9</v>
      </c>
      <c r="H297">
        <v>3.6</v>
      </c>
      <c r="I297" s="1" t="b">
        <v>1</v>
      </c>
      <c r="J297">
        <v>44</v>
      </c>
      <c r="K297" t="s">
        <v>21</v>
      </c>
      <c r="L297" t="str">
        <f xml:space="preserve"> IF(AND(Customer_Table[[#This Row],[Days Since Last Purchase]]&gt;21,Customer_Table[[#This Row],[Satisfaction Level]] = "Unsatisfied"), "At Risk", "Low Risk")</f>
        <v>At Risk</v>
      </c>
      <c r="M297" t="str">
        <f t="shared" si="4"/>
        <v>41-43</v>
      </c>
      <c r="N297" t="str">
        <f xml:space="preserve"> IF(Customer_Table[[#This Row],[Total Spend]] &gt;= 1000, "High", IF(Customer_Table[[#This Row],[Total Spend]]&gt;= 600, "Medium", "Low"))</f>
        <v>Low</v>
      </c>
      <c r="O29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298" spans="1:15" x14ac:dyDescent="0.25">
      <c r="A298" s="1">
        <v>397</v>
      </c>
      <c r="B298" t="s">
        <v>15</v>
      </c>
      <c r="C298">
        <v>28</v>
      </c>
      <c r="D298" t="s">
        <v>22</v>
      </c>
      <c r="E298" t="s">
        <v>13</v>
      </c>
      <c r="F298" s="3">
        <v>1480.1</v>
      </c>
      <c r="G298">
        <v>21</v>
      </c>
      <c r="H298">
        <v>4.9000000000000004</v>
      </c>
      <c r="I298" s="1" t="b">
        <v>0</v>
      </c>
      <c r="J298">
        <v>12</v>
      </c>
      <c r="K298" t="s">
        <v>14</v>
      </c>
      <c r="L298" t="str">
        <f xml:space="preserve"> IF(AND(Customer_Table[[#This Row],[Days Since Last Purchase]]&gt;21,Customer_Table[[#This Row],[Satisfaction Level]] = "Unsatisfied"), "At Risk", "Low Risk")</f>
        <v>Low Risk</v>
      </c>
      <c r="M298" t="str">
        <f t="shared" si="4"/>
        <v>26-30</v>
      </c>
      <c r="N298" t="str">
        <f xml:space="preserve"> IF(Customer_Table[[#This Row],[Total Spend]] &gt;= 1000, "High", IF(Customer_Table[[#This Row],[Total Spend]]&gt;= 600, "Medium", "Low"))</f>
        <v>High</v>
      </c>
      <c r="O29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299" spans="1:15" x14ac:dyDescent="0.25">
      <c r="A299" s="1">
        <v>398</v>
      </c>
      <c r="B299" t="s">
        <v>15</v>
      </c>
      <c r="C299">
        <v>32</v>
      </c>
      <c r="D299" t="s">
        <v>23</v>
      </c>
      <c r="E299" t="s">
        <v>17</v>
      </c>
      <c r="F299" s="3">
        <v>660.3</v>
      </c>
      <c r="G299">
        <v>10</v>
      </c>
      <c r="H299">
        <v>3.8</v>
      </c>
      <c r="I299" s="1" t="b">
        <v>1</v>
      </c>
      <c r="J299">
        <v>38</v>
      </c>
      <c r="K299" t="s">
        <v>21</v>
      </c>
      <c r="L299" t="str">
        <f xml:space="preserve"> IF(AND(Customer_Table[[#This Row],[Days Since Last Purchase]]&gt;21,Customer_Table[[#This Row],[Satisfaction Level]] = "Unsatisfied"), "At Risk", "Low Risk")</f>
        <v>At Risk</v>
      </c>
      <c r="M299" t="str">
        <f t="shared" si="4"/>
        <v>31-35</v>
      </c>
      <c r="N299" t="str">
        <f xml:space="preserve"> IF(Customer_Table[[#This Row],[Total Spend]] &gt;= 1000, "High", IF(Customer_Table[[#This Row],[Total Spend]]&gt;= 600, "Medium", "Low"))</f>
        <v>Medium</v>
      </c>
      <c r="O29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00" spans="1:15" x14ac:dyDescent="0.25">
      <c r="A300" s="1">
        <v>399</v>
      </c>
      <c r="B300" t="s">
        <v>11</v>
      </c>
      <c r="C300">
        <v>36</v>
      </c>
      <c r="D300" t="s">
        <v>24</v>
      </c>
      <c r="E300" t="s">
        <v>20</v>
      </c>
      <c r="F300" s="3">
        <v>470.5</v>
      </c>
      <c r="G300">
        <v>8</v>
      </c>
      <c r="H300">
        <v>3</v>
      </c>
      <c r="I300" s="1" t="b">
        <v>0</v>
      </c>
      <c r="J300">
        <v>22</v>
      </c>
      <c r="K300" t="s">
        <v>18</v>
      </c>
      <c r="L300" t="str">
        <f xml:space="preserve"> IF(AND(Customer_Table[[#This Row],[Days Since Last Purchase]]&gt;21,Customer_Table[[#This Row],[Satisfaction Level]] = "Unsatisfied"), "At Risk", "Low Risk")</f>
        <v>Low Risk</v>
      </c>
      <c r="M300" t="str">
        <f t="shared" si="4"/>
        <v>36-40</v>
      </c>
      <c r="N300" t="str">
        <f xml:space="preserve"> IF(Customer_Table[[#This Row],[Total Spend]] &gt;= 1000, "High", IF(Customer_Table[[#This Row],[Total Spend]]&gt;= 600, "Medium", "Low"))</f>
        <v>Low</v>
      </c>
      <c r="O30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01" spans="1:15" x14ac:dyDescent="0.25">
      <c r="A301" s="1">
        <v>400</v>
      </c>
      <c r="B301" t="s">
        <v>11</v>
      </c>
      <c r="C301">
        <v>30</v>
      </c>
      <c r="D301" t="s">
        <v>12</v>
      </c>
      <c r="E301" t="s">
        <v>13</v>
      </c>
      <c r="F301" s="3">
        <v>1190.8</v>
      </c>
      <c r="G301">
        <v>16</v>
      </c>
      <c r="H301">
        <v>4.5</v>
      </c>
      <c r="I301" s="1" t="b">
        <v>1</v>
      </c>
      <c r="J301">
        <v>25</v>
      </c>
      <c r="K301" t="s">
        <v>14</v>
      </c>
      <c r="L301" t="str">
        <f xml:space="preserve"> IF(AND(Customer_Table[[#This Row],[Days Since Last Purchase]]&gt;21,Customer_Table[[#This Row],[Satisfaction Level]] = "Unsatisfied"), "At Risk", "Low Risk")</f>
        <v>Low Risk</v>
      </c>
      <c r="M301" t="str">
        <f t="shared" si="4"/>
        <v>26-30</v>
      </c>
      <c r="N301" t="str">
        <f xml:space="preserve"> IF(Customer_Table[[#This Row],[Total Spend]] &gt;= 1000, "High", IF(Customer_Table[[#This Row],[Total Spend]]&gt;= 600, "Medium", "Low"))</f>
        <v>High</v>
      </c>
      <c r="O30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02" spans="1:15" x14ac:dyDescent="0.25">
      <c r="A302" s="1">
        <v>401</v>
      </c>
      <c r="B302" t="s">
        <v>15</v>
      </c>
      <c r="C302">
        <v>33</v>
      </c>
      <c r="D302" t="s">
        <v>16</v>
      </c>
      <c r="E302" t="s">
        <v>17</v>
      </c>
      <c r="F302" s="3">
        <v>800.2</v>
      </c>
      <c r="G302">
        <v>11</v>
      </c>
      <c r="H302">
        <v>4.0999999999999996</v>
      </c>
      <c r="I302" s="1" t="b">
        <v>0</v>
      </c>
      <c r="J302">
        <v>18</v>
      </c>
      <c r="K302" t="s">
        <v>18</v>
      </c>
      <c r="L302" t="str">
        <f xml:space="preserve"> IF(AND(Customer_Table[[#This Row],[Days Since Last Purchase]]&gt;21,Customer_Table[[#This Row],[Satisfaction Level]] = "Unsatisfied"), "At Risk", "Low Risk")</f>
        <v>Low Risk</v>
      </c>
      <c r="M302" t="str">
        <f t="shared" si="4"/>
        <v>31-35</v>
      </c>
      <c r="N302" t="str">
        <f xml:space="preserve"> IF(Customer_Table[[#This Row],[Total Spend]] &gt;= 1000, "High", IF(Customer_Table[[#This Row],[Total Spend]]&gt;= 600, "Medium", "Low"))</f>
        <v>Medium</v>
      </c>
      <c r="O30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03" spans="1:15" x14ac:dyDescent="0.25">
      <c r="A303" s="1">
        <v>402</v>
      </c>
      <c r="B303" t="s">
        <v>11</v>
      </c>
      <c r="C303">
        <v>43</v>
      </c>
      <c r="D303" t="s">
        <v>19</v>
      </c>
      <c r="E303" t="s">
        <v>20</v>
      </c>
      <c r="F303" s="3">
        <v>515.75</v>
      </c>
      <c r="G303">
        <v>10</v>
      </c>
      <c r="H303">
        <v>3.3</v>
      </c>
      <c r="I303" s="1" t="b">
        <v>1</v>
      </c>
      <c r="J303">
        <v>45</v>
      </c>
      <c r="K303" t="s">
        <v>21</v>
      </c>
      <c r="L303" t="str">
        <f xml:space="preserve"> IF(AND(Customer_Table[[#This Row],[Days Since Last Purchase]]&gt;21,Customer_Table[[#This Row],[Satisfaction Level]] = "Unsatisfied"), "At Risk", "Low Risk")</f>
        <v>At Risk</v>
      </c>
      <c r="M303" t="str">
        <f t="shared" si="4"/>
        <v>41-43</v>
      </c>
      <c r="N303" t="str">
        <f xml:space="preserve"> IF(Customer_Table[[#This Row],[Total Spend]] &gt;= 1000, "High", IF(Customer_Table[[#This Row],[Total Spend]]&gt;= 600, "Medium", "Low"))</f>
        <v>Low</v>
      </c>
      <c r="O30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04" spans="1:15" x14ac:dyDescent="0.25">
      <c r="A304" s="1">
        <v>403</v>
      </c>
      <c r="B304" t="s">
        <v>15</v>
      </c>
      <c r="C304">
        <v>30</v>
      </c>
      <c r="D304" t="s">
        <v>22</v>
      </c>
      <c r="E304" t="s">
        <v>13</v>
      </c>
      <c r="F304" s="3">
        <v>1450.5</v>
      </c>
      <c r="G304">
        <v>19</v>
      </c>
      <c r="H304">
        <v>4.5999999999999996</v>
      </c>
      <c r="I304" s="1" t="b">
        <v>0</v>
      </c>
      <c r="J304">
        <v>13</v>
      </c>
      <c r="K304" t="s">
        <v>14</v>
      </c>
      <c r="L304" t="str">
        <f xml:space="preserve"> IF(AND(Customer_Table[[#This Row],[Days Since Last Purchase]]&gt;21,Customer_Table[[#This Row],[Satisfaction Level]] = "Unsatisfied"), "At Risk", "Low Risk")</f>
        <v>Low Risk</v>
      </c>
      <c r="M304" t="str">
        <f t="shared" si="4"/>
        <v>26-30</v>
      </c>
      <c r="N304" t="str">
        <f xml:space="preserve"> IF(Customer_Table[[#This Row],[Total Spend]] &gt;= 1000, "High", IF(Customer_Table[[#This Row],[Total Spend]]&gt;= 600, "Medium", "Low"))</f>
        <v>High</v>
      </c>
      <c r="O30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05" spans="1:15" x14ac:dyDescent="0.25">
      <c r="A305" s="1">
        <v>404</v>
      </c>
      <c r="B305" t="s">
        <v>15</v>
      </c>
      <c r="C305">
        <v>27</v>
      </c>
      <c r="D305" t="s">
        <v>23</v>
      </c>
      <c r="E305" t="s">
        <v>17</v>
      </c>
      <c r="F305" s="3">
        <v>710.4</v>
      </c>
      <c r="G305">
        <v>13</v>
      </c>
      <c r="H305">
        <v>4.0999999999999996</v>
      </c>
      <c r="I305" s="1" t="b">
        <v>1</v>
      </c>
      <c r="J305">
        <v>60</v>
      </c>
      <c r="K305" t="s">
        <v>21</v>
      </c>
      <c r="L305" t="str">
        <f xml:space="preserve"> IF(AND(Customer_Table[[#This Row],[Days Since Last Purchase]]&gt;21,Customer_Table[[#This Row],[Satisfaction Level]] = "Unsatisfied"), "At Risk", "Low Risk")</f>
        <v>At Risk</v>
      </c>
      <c r="M305" t="str">
        <f t="shared" si="4"/>
        <v>26-30</v>
      </c>
      <c r="N305" t="str">
        <f xml:space="preserve"> IF(Customer_Table[[#This Row],[Total Spend]] &gt;= 1000, "High", IF(Customer_Table[[#This Row],[Total Spend]]&gt;= 600, "Medium", "Low"))</f>
        <v>Medium</v>
      </c>
      <c r="O30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306" spans="1:15" x14ac:dyDescent="0.25">
      <c r="A306" s="1">
        <v>405</v>
      </c>
      <c r="B306" t="s">
        <v>11</v>
      </c>
      <c r="C306">
        <v>37</v>
      </c>
      <c r="D306" t="s">
        <v>24</v>
      </c>
      <c r="E306" t="s">
        <v>20</v>
      </c>
      <c r="F306" s="3">
        <v>430.8</v>
      </c>
      <c r="G306">
        <v>7</v>
      </c>
      <c r="H306">
        <v>3.4</v>
      </c>
      <c r="I306" s="1" t="b">
        <v>0</v>
      </c>
      <c r="J306">
        <v>29</v>
      </c>
      <c r="K306" t="s">
        <v>18</v>
      </c>
      <c r="L306" t="str">
        <f xml:space="preserve"> IF(AND(Customer_Table[[#This Row],[Days Since Last Purchase]]&gt;21,Customer_Table[[#This Row],[Satisfaction Level]] = "Unsatisfied"), "At Risk", "Low Risk")</f>
        <v>Low Risk</v>
      </c>
      <c r="M306" t="str">
        <f t="shared" si="4"/>
        <v>36-40</v>
      </c>
      <c r="N306" t="str">
        <f xml:space="preserve"> IF(Customer_Table[[#This Row],[Total Spend]] &gt;= 1000, "High", IF(Customer_Table[[#This Row],[Total Spend]]&gt;= 600, "Medium", "Low"))</f>
        <v>Low</v>
      </c>
      <c r="O30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07" spans="1:15" x14ac:dyDescent="0.25">
      <c r="A307" s="1">
        <v>406</v>
      </c>
      <c r="B307" t="s">
        <v>11</v>
      </c>
      <c r="C307">
        <v>31</v>
      </c>
      <c r="D307" t="s">
        <v>12</v>
      </c>
      <c r="E307" t="s">
        <v>13</v>
      </c>
      <c r="F307" s="3">
        <v>1160.5999999999999</v>
      </c>
      <c r="G307">
        <v>15</v>
      </c>
      <c r="H307">
        <v>4.5</v>
      </c>
      <c r="I307" s="1" t="b">
        <v>1</v>
      </c>
      <c r="J307">
        <v>33</v>
      </c>
      <c r="K307" t="s">
        <v>14</v>
      </c>
      <c r="L307" t="str">
        <f xml:space="preserve"> IF(AND(Customer_Table[[#This Row],[Days Since Last Purchase]]&gt;21,Customer_Table[[#This Row],[Satisfaction Level]] = "Unsatisfied"), "At Risk", "Low Risk")</f>
        <v>Low Risk</v>
      </c>
      <c r="M307" t="str">
        <f t="shared" si="4"/>
        <v>31-35</v>
      </c>
      <c r="N307" t="str">
        <f xml:space="preserve"> IF(Customer_Table[[#This Row],[Total Spend]] &gt;= 1000, "High", IF(Customer_Table[[#This Row],[Total Spend]]&gt;= 600, "Medium", "Low"))</f>
        <v>High</v>
      </c>
      <c r="O30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08" spans="1:15" x14ac:dyDescent="0.25">
      <c r="A308" s="1">
        <v>407</v>
      </c>
      <c r="B308" t="s">
        <v>15</v>
      </c>
      <c r="C308">
        <v>35</v>
      </c>
      <c r="D308" t="s">
        <v>16</v>
      </c>
      <c r="E308" t="s">
        <v>17</v>
      </c>
      <c r="F308" s="3">
        <v>820.9</v>
      </c>
      <c r="G308">
        <v>12</v>
      </c>
      <c r="H308">
        <v>4.3</v>
      </c>
      <c r="I308" s="1" t="b">
        <v>0</v>
      </c>
      <c r="J308">
        <v>16</v>
      </c>
      <c r="K308" t="s">
        <v>18</v>
      </c>
      <c r="L308" t="str">
        <f xml:space="preserve"> IF(AND(Customer_Table[[#This Row],[Days Since Last Purchase]]&gt;21,Customer_Table[[#This Row],[Satisfaction Level]] = "Unsatisfied"), "At Risk", "Low Risk")</f>
        <v>Low Risk</v>
      </c>
      <c r="M308" t="str">
        <f t="shared" si="4"/>
        <v>31-35</v>
      </c>
      <c r="N308" t="str">
        <f xml:space="preserve"> IF(Customer_Table[[#This Row],[Total Spend]] &gt;= 1000, "High", IF(Customer_Table[[#This Row],[Total Spend]]&gt;= 600, "Medium", "Low"))</f>
        <v>Medium</v>
      </c>
      <c r="O30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09" spans="1:15" x14ac:dyDescent="0.25">
      <c r="A309" s="1">
        <v>408</v>
      </c>
      <c r="B309" t="s">
        <v>11</v>
      </c>
      <c r="C309">
        <v>41</v>
      </c>
      <c r="D309" t="s">
        <v>19</v>
      </c>
      <c r="E309" t="s">
        <v>20</v>
      </c>
      <c r="F309" s="3">
        <v>495.25</v>
      </c>
      <c r="G309">
        <v>9</v>
      </c>
      <c r="H309">
        <v>3.6</v>
      </c>
      <c r="I309" s="1" t="b">
        <v>1</v>
      </c>
      <c r="J309">
        <v>45</v>
      </c>
      <c r="K309" t="s">
        <v>21</v>
      </c>
      <c r="L309" t="str">
        <f xml:space="preserve"> IF(AND(Customer_Table[[#This Row],[Days Since Last Purchase]]&gt;21,Customer_Table[[#This Row],[Satisfaction Level]] = "Unsatisfied"), "At Risk", "Low Risk")</f>
        <v>At Risk</v>
      </c>
      <c r="M309" t="str">
        <f t="shared" si="4"/>
        <v>41-43</v>
      </c>
      <c r="N309" t="str">
        <f xml:space="preserve"> IF(Customer_Table[[#This Row],[Total Spend]] &gt;= 1000, "High", IF(Customer_Table[[#This Row],[Total Spend]]&gt;= 600, "Medium", "Low"))</f>
        <v>Low</v>
      </c>
      <c r="O30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10" spans="1:15" x14ac:dyDescent="0.25">
      <c r="A310" s="1">
        <v>409</v>
      </c>
      <c r="B310" t="s">
        <v>15</v>
      </c>
      <c r="C310">
        <v>28</v>
      </c>
      <c r="D310" t="s">
        <v>22</v>
      </c>
      <c r="E310" t="s">
        <v>13</v>
      </c>
      <c r="F310" s="3">
        <v>1490.1</v>
      </c>
      <c r="G310">
        <v>21</v>
      </c>
      <c r="H310">
        <v>4.9000000000000004</v>
      </c>
      <c r="I310" s="1" t="b">
        <v>0</v>
      </c>
      <c r="J310">
        <v>11</v>
      </c>
      <c r="K310" t="s">
        <v>14</v>
      </c>
      <c r="L310" t="str">
        <f xml:space="preserve"> IF(AND(Customer_Table[[#This Row],[Days Since Last Purchase]]&gt;21,Customer_Table[[#This Row],[Satisfaction Level]] = "Unsatisfied"), "At Risk", "Low Risk")</f>
        <v>Low Risk</v>
      </c>
      <c r="M310" t="str">
        <f t="shared" si="4"/>
        <v>26-30</v>
      </c>
      <c r="N310" t="str">
        <f xml:space="preserve"> IF(Customer_Table[[#This Row],[Total Spend]] &gt;= 1000, "High", IF(Customer_Table[[#This Row],[Total Spend]]&gt;= 600, "Medium", "Low"))</f>
        <v>High</v>
      </c>
      <c r="O31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11" spans="1:15" x14ac:dyDescent="0.25">
      <c r="A311" s="1">
        <v>410</v>
      </c>
      <c r="B311" t="s">
        <v>15</v>
      </c>
      <c r="C311">
        <v>32</v>
      </c>
      <c r="D311" t="s">
        <v>23</v>
      </c>
      <c r="E311" t="s">
        <v>17</v>
      </c>
      <c r="F311" s="3">
        <v>660.3</v>
      </c>
      <c r="G311">
        <v>10</v>
      </c>
      <c r="H311">
        <v>3.8</v>
      </c>
      <c r="I311" s="1" t="b">
        <v>1</v>
      </c>
      <c r="J311">
        <v>39</v>
      </c>
      <c r="K311" t="s">
        <v>21</v>
      </c>
      <c r="L311" t="str">
        <f xml:space="preserve"> IF(AND(Customer_Table[[#This Row],[Days Since Last Purchase]]&gt;21,Customer_Table[[#This Row],[Satisfaction Level]] = "Unsatisfied"), "At Risk", "Low Risk")</f>
        <v>At Risk</v>
      </c>
      <c r="M311" t="str">
        <f t="shared" si="4"/>
        <v>31-35</v>
      </c>
      <c r="N311" t="str">
        <f xml:space="preserve"> IF(Customer_Table[[#This Row],[Total Spend]] &gt;= 1000, "High", IF(Customer_Table[[#This Row],[Total Spend]]&gt;= 600, "Medium", "Low"))</f>
        <v>Medium</v>
      </c>
      <c r="O31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12" spans="1:15" x14ac:dyDescent="0.25">
      <c r="A312" s="1">
        <v>411</v>
      </c>
      <c r="B312" t="s">
        <v>11</v>
      </c>
      <c r="C312">
        <v>36</v>
      </c>
      <c r="D312" t="s">
        <v>24</v>
      </c>
      <c r="E312" t="s">
        <v>20</v>
      </c>
      <c r="F312" s="3">
        <v>440.5</v>
      </c>
      <c r="G312">
        <v>8</v>
      </c>
      <c r="H312">
        <v>3.1</v>
      </c>
      <c r="I312" s="1" t="b">
        <v>0</v>
      </c>
      <c r="J312">
        <v>24</v>
      </c>
      <c r="K312" t="s">
        <v>18</v>
      </c>
      <c r="L312" t="str">
        <f xml:space="preserve"> IF(AND(Customer_Table[[#This Row],[Days Since Last Purchase]]&gt;21,Customer_Table[[#This Row],[Satisfaction Level]] = "Unsatisfied"), "At Risk", "Low Risk")</f>
        <v>Low Risk</v>
      </c>
      <c r="M312" t="str">
        <f t="shared" si="4"/>
        <v>36-40</v>
      </c>
      <c r="N312" t="str">
        <f xml:space="preserve"> IF(Customer_Table[[#This Row],[Total Spend]] &gt;= 1000, "High", IF(Customer_Table[[#This Row],[Total Spend]]&gt;= 600, "Medium", "Low"))</f>
        <v>Low</v>
      </c>
      <c r="O31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13" spans="1:15" x14ac:dyDescent="0.25">
      <c r="A313" s="1">
        <v>412</v>
      </c>
      <c r="B313" t="s">
        <v>11</v>
      </c>
      <c r="C313">
        <v>30</v>
      </c>
      <c r="D313" t="s">
        <v>12</v>
      </c>
      <c r="E313" t="s">
        <v>13</v>
      </c>
      <c r="F313" s="3">
        <v>1200.8</v>
      </c>
      <c r="G313">
        <v>16</v>
      </c>
      <c r="H313">
        <v>4.7</v>
      </c>
      <c r="I313" s="1" t="b">
        <v>1</v>
      </c>
      <c r="J313">
        <v>25</v>
      </c>
      <c r="K313" t="s">
        <v>14</v>
      </c>
      <c r="L313" t="str">
        <f xml:space="preserve"> IF(AND(Customer_Table[[#This Row],[Days Since Last Purchase]]&gt;21,Customer_Table[[#This Row],[Satisfaction Level]] = "Unsatisfied"), "At Risk", "Low Risk")</f>
        <v>Low Risk</v>
      </c>
      <c r="M313" t="str">
        <f t="shared" si="4"/>
        <v>26-30</v>
      </c>
      <c r="N313" t="str">
        <f xml:space="preserve"> IF(Customer_Table[[#This Row],[Total Spend]] &gt;= 1000, "High", IF(Customer_Table[[#This Row],[Total Spend]]&gt;= 600, "Medium", "Low"))</f>
        <v>High</v>
      </c>
      <c r="O31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14" spans="1:15" x14ac:dyDescent="0.25">
      <c r="A314" s="1">
        <v>413</v>
      </c>
      <c r="B314" t="s">
        <v>15</v>
      </c>
      <c r="C314">
        <v>34</v>
      </c>
      <c r="D314" t="s">
        <v>16</v>
      </c>
      <c r="E314" t="s">
        <v>17</v>
      </c>
      <c r="F314" s="3">
        <v>780.2</v>
      </c>
      <c r="G314">
        <v>11</v>
      </c>
      <c r="H314">
        <v>4.0999999999999996</v>
      </c>
      <c r="I314" s="1" t="b">
        <v>0</v>
      </c>
      <c r="J314">
        <v>17</v>
      </c>
      <c r="K314" t="s">
        <v>18</v>
      </c>
      <c r="L314" t="str">
        <f xml:space="preserve"> IF(AND(Customer_Table[[#This Row],[Days Since Last Purchase]]&gt;21,Customer_Table[[#This Row],[Satisfaction Level]] = "Unsatisfied"), "At Risk", "Low Risk")</f>
        <v>Low Risk</v>
      </c>
      <c r="M314" t="str">
        <f t="shared" si="4"/>
        <v>31-35</v>
      </c>
      <c r="N314" t="str">
        <f xml:space="preserve"> IF(Customer_Table[[#This Row],[Total Spend]] &gt;= 1000, "High", IF(Customer_Table[[#This Row],[Total Spend]]&gt;= 600, "Medium", "Low"))</f>
        <v>Medium</v>
      </c>
      <c r="O31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15" spans="1:15" x14ac:dyDescent="0.25">
      <c r="A315" s="1">
        <v>414</v>
      </c>
      <c r="B315" t="s">
        <v>11</v>
      </c>
      <c r="C315">
        <v>43</v>
      </c>
      <c r="D315" t="s">
        <v>19</v>
      </c>
      <c r="E315" t="s">
        <v>20</v>
      </c>
      <c r="F315" s="3">
        <v>505.75</v>
      </c>
      <c r="G315">
        <v>10</v>
      </c>
      <c r="H315">
        <v>3.3</v>
      </c>
      <c r="I315" s="1" t="b">
        <v>1</v>
      </c>
      <c r="J315">
        <v>46</v>
      </c>
      <c r="K315" t="s">
        <v>21</v>
      </c>
      <c r="L315" t="str">
        <f xml:space="preserve"> IF(AND(Customer_Table[[#This Row],[Days Since Last Purchase]]&gt;21,Customer_Table[[#This Row],[Satisfaction Level]] = "Unsatisfied"), "At Risk", "Low Risk")</f>
        <v>At Risk</v>
      </c>
      <c r="M315" t="str">
        <f t="shared" si="4"/>
        <v>41-43</v>
      </c>
      <c r="N315" t="str">
        <f xml:space="preserve"> IF(Customer_Table[[#This Row],[Total Spend]] &gt;= 1000, "High", IF(Customer_Table[[#This Row],[Total Spend]]&gt;= 600, "Medium", "Low"))</f>
        <v>Low</v>
      </c>
      <c r="O31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16" spans="1:15" x14ac:dyDescent="0.25">
      <c r="A316" s="1">
        <v>415</v>
      </c>
      <c r="B316" t="s">
        <v>15</v>
      </c>
      <c r="C316">
        <v>30</v>
      </c>
      <c r="D316" t="s">
        <v>22</v>
      </c>
      <c r="E316" t="s">
        <v>13</v>
      </c>
      <c r="F316" s="3">
        <v>1460.5</v>
      </c>
      <c r="G316">
        <v>20</v>
      </c>
      <c r="H316">
        <v>4.8</v>
      </c>
      <c r="I316" s="1" t="b">
        <v>0</v>
      </c>
      <c r="J316">
        <v>14</v>
      </c>
      <c r="K316" t="s">
        <v>14</v>
      </c>
      <c r="L316" t="str">
        <f xml:space="preserve"> IF(AND(Customer_Table[[#This Row],[Days Since Last Purchase]]&gt;21,Customer_Table[[#This Row],[Satisfaction Level]] = "Unsatisfied"), "At Risk", "Low Risk")</f>
        <v>Low Risk</v>
      </c>
      <c r="M316" t="str">
        <f t="shared" si="4"/>
        <v>26-30</v>
      </c>
      <c r="N316" t="str">
        <f xml:space="preserve"> IF(Customer_Table[[#This Row],[Total Spend]] &gt;= 1000, "High", IF(Customer_Table[[#This Row],[Total Spend]]&gt;= 600, "Medium", "Low"))</f>
        <v>High</v>
      </c>
      <c r="O31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17" spans="1:15" x14ac:dyDescent="0.25">
      <c r="A317" s="1">
        <v>416</v>
      </c>
      <c r="B317" t="s">
        <v>15</v>
      </c>
      <c r="C317">
        <v>27</v>
      </c>
      <c r="D317" t="s">
        <v>23</v>
      </c>
      <c r="E317" t="s">
        <v>17</v>
      </c>
      <c r="F317" s="3">
        <v>710.4</v>
      </c>
      <c r="G317">
        <v>13</v>
      </c>
      <c r="H317">
        <v>4.0999999999999996</v>
      </c>
      <c r="I317" s="1" t="b">
        <v>1</v>
      </c>
      <c r="J317">
        <v>61</v>
      </c>
      <c r="K317" t="s">
        <v>21</v>
      </c>
      <c r="L317" t="str">
        <f xml:space="preserve"> IF(AND(Customer_Table[[#This Row],[Days Since Last Purchase]]&gt;21,Customer_Table[[#This Row],[Satisfaction Level]] = "Unsatisfied"), "At Risk", "Low Risk")</f>
        <v>At Risk</v>
      </c>
      <c r="M317" t="str">
        <f t="shared" si="4"/>
        <v>26-30</v>
      </c>
      <c r="N317" t="str">
        <f xml:space="preserve"> IF(Customer_Table[[#This Row],[Total Spend]] &gt;= 1000, "High", IF(Customer_Table[[#This Row],[Total Spend]]&gt;= 600, "Medium", "Low"))</f>
        <v>Medium</v>
      </c>
      <c r="O31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318" spans="1:15" x14ac:dyDescent="0.25">
      <c r="A318" s="1">
        <v>417</v>
      </c>
      <c r="B318" t="s">
        <v>11</v>
      </c>
      <c r="C318">
        <v>37</v>
      </c>
      <c r="D318" t="s">
        <v>24</v>
      </c>
      <c r="E318" t="s">
        <v>20</v>
      </c>
      <c r="F318" s="3">
        <v>450.8</v>
      </c>
      <c r="G318">
        <v>7</v>
      </c>
      <c r="H318">
        <v>3.4</v>
      </c>
      <c r="I318" s="1" t="b">
        <v>0</v>
      </c>
      <c r="J318">
        <v>30</v>
      </c>
      <c r="K318" t="s">
        <v>18</v>
      </c>
      <c r="L318" t="str">
        <f xml:space="preserve"> IF(AND(Customer_Table[[#This Row],[Days Since Last Purchase]]&gt;21,Customer_Table[[#This Row],[Satisfaction Level]] = "Unsatisfied"), "At Risk", "Low Risk")</f>
        <v>Low Risk</v>
      </c>
      <c r="M318" t="str">
        <f t="shared" si="4"/>
        <v>36-40</v>
      </c>
      <c r="N318" t="str">
        <f xml:space="preserve"> IF(Customer_Table[[#This Row],[Total Spend]] &gt;= 1000, "High", IF(Customer_Table[[#This Row],[Total Spend]]&gt;= 600, "Medium", "Low"))</f>
        <v>Low</v>
      </c>
      <c r="O31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19" spans="1:15" x14ac:dyDescent="0.25">
      <c r="A319" s="1">
        <v>418</v>
      </c>
      <c r="B319" t="s">
        <v>11</v>
      </c>
      <c r="C319">
        <v>31</v>
      </c>
      <c r="D319" t="s">
        <v>12</v>
      </c>
      <c r="E319" t="s">
        <v>13</v>
      </c>
      <c r="F319" s="3">
        <v>1140.5999999999999</v>
      </c>
      <c r="G319">
        <v>15</v>
      </c>
      <c r="H319">
        <v>4.5</v>
      </c>
      <c r="I319" s="1" t="b">
        <v>1</v>
      </c>
      <c r="J319">
        <v>34</v>
      </c>
      <c r="K319" t="s">
        <v>14</v>
      </c>
      <c r="L319" t="str">
        <f xml:space="preserve"> IF(AND(Customer_Table[[#This Row],[Days Since Last Purchase]]&gt;21,Customer_Table[[#This Row],[Satisfaction Level]] = "Unsatisfied"), "At Risk", "Low Risk")</f>
        <v>Low Risk</v>
      </c>
      <c r="M319" t="str">
        <f t="shared" si="4"/>
        <v>31-35</v>
      </c>
      <c r="N319" t="str">
        <f xml:space="preserve"> IF(Customer_Table[[#This Row],[Total Spend]] &gt;= 1000, "High", IF(Customer_Table[[#This Row],[Total Spend]]&gt;= 600, "Medium", "Low"))</f>
        <v>High</v>
      </c>
      <c r="O31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20" spans="1:15" x14ac:dyDescent="0.25">
      <c r="A320" s="1">
        <v>419</v>
      </c>
      <c r="B320" t="s">
        <v>15</v>
      </c>
      <c r="C320">
        <v>35</v>
      </c>
      <c r="D320" t="s">
        <v>16</v>
      </c>
      <c r="E320" t="s">
        <v>17</v>
      </c>
      <c r="F320" s="3">
        <v>800.9</v>
      </c>
      <c r="G320">
        <v>12</v>
      </c>
      <c r="H320">
        <v>4.0999999999999996</v>
      </c>
      <c r="I320" s="1" t="b">
        <v>0</v>
      </c>
      <c r="J320">
        <v>19</v>
      </c>
      <c r="K320" t="s">
        <v>18</v>
      </c>
      <c r="L320" t="str">
        <f xml:space="preserve"> IF(AND(Customer_Table[[#This Row],[Days Since Last Purchase]]&gt;21,Customer_Table[[#This Row],[Satisfaction Level]] = "Unsatisfied"), "At Risk", "Low Risk")</f>
        <v>Low Risk</v>
      </c>
      <c r="M320" t="str">
        <f t="shared" si="4"/>
        <v>31-35</v>
      </c>
      <c r="N320" t="str">
        <f xml:space="preserve"> IF(Customer_Table[[#This Row],[Total Spend]] &gt;= 1000, "High", IF(Customer_Table[[#This Row],[Total Spend]]&gt;= 600, "Medium", "Low"))</f>
        <v>Medium</v>
      </c>
      <c r="O32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21" spans="1:15" x14ac:dyDescent="0.25">
      <c r="A321" s="1">
        <v>420</v>
      </c>
      <c r="B321" t="s">
        <v>11</v>
      </c>
      <c r="C321">
        <v>41</v>
      </c>
      <c r="D321" t="s">
        <v>19</v>
      </c>
      <c r="E321" t="s">
        <v>20</v>
      </c>
      <c r="F321" s="3">
        <v>475.25</v>
      </c>
      <c r="G321">
        <v>9</v>
      </c>
      <c r="H321">
        <v>3.6</v>
      </c>
      <c r="I321" s="1" t="b">
        <v>1</v>
      </c>
      <c r="J321">
        <v>46</v>
      </c>
      <c r="K321" t="s">
        <v>21</v>
      </c>
      <c r="L321" t="str">
        <f xml:space="preserve"> IF(AND(Customer_Table[[#This Row],[Days Since Last Purchase]]&gt;21,Customer_Table[[#This Row],[Satisfaction Level]] = "Unsatisfied"), "At Risk", "Low Risk")</f>
        <v>At Risk</v>
      </c>
      <c r="M321" t="str">
        <f t="shared" si="4"/>
        <v>41-43</v>
      </c>
      <c r="N321" t="str">
        <f xml:space="preserve"> IF(Customer_Table[[#This Row],[Total Spend]] &gt;= 1000, "High", IF(Customer_Table[[#This Row],[Total Spend]]&gt;= 600, "Medium", "Low"))</f>
        <v>Low</v>
      </c>
      <c r="O32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22" spans="1:15" x14ac:dyDescent="0.25">
      <c r="A322" s="1">
        <v>421</v>
      </c>
      <c r="B322" t="s">
        <v>15</v>
      </c>
      <c r="C322">
        <v>28</v>
      </c>
      <c r="D322" t="s">
        <v>22</v>
      </c>
      <c r="E322" t="s">
        <v>13</v>
      </c>
      <c r="F322" s="3">
        <v>1480.1</v>
      </c>
      <c r="G322">
        <v>21</v>
      </c>
      <c r="H322">
        <v>4.9000000000000004</v>
      </c>
      <c r="I322" s="1" t="b">
        <v>0</v>
      </c>
      <c r="J322">
        <v>12</v>
      </c>
      <c r="K322" t="s">
        <v>14</v>
      </c>
      <c r="L322" t="str">
        <f xml:space="preserve"> IF(AND(Customer_Table[[#This Row],[Days Since Last Purchase]]&gt;21,Customer_Table[[#This Row],[Satisfaction Level]] = "Unsatisfied"), "At Risk", "Low Risk")</f>
        <v>Low Risk</v>
      </c>
      <c r="M322" t="str">
        <f t="shared" ref="M322:M351" si="5" xml:space="preserve"> IF(C322&lt;=30, "26-30", IF(C322&lt;=35, "31-35", IF(C322&lt;=40, "36-40", "41-43")))</f>
        <v>26-30</v>
      </c>
      <c r="N322" t="str">
        <f xml:space="preserve"> IF(Customer_Table[[#This Row],[Total Spend]] &gt;= 1000, "High", IF(Customer_Table[[#This Row],[Total Spend]]&gt;= 600, "Medium", "Low"))</f>
        <v>High</v>
      </c>
      <c r="O32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23" spans="1:15" x14ac:dyDescent="0.25">
      <c r="A323" s="1">
        <v>422</v>
      </c>
      <c r="B323" t="s">
        <v>15</v>
      </c>
      <c r="C323">
        <v>32</v>
      </c>
      <c r="D323" t="s">
        <v>23</v>
      </c>
      <c r="E323" t="s">
        <v>17</v>
      </c>
      <c r="F323" s="3">
        <v>660.3</v>
      </c>
      <c r="G323">
        <v>10</v>
      </c>
      <c r="H323">
        <v>3.8</v>
      </c>
      <c r="I323" s="1" t="b">
        <v>1</v>
      </c>
      <c r="J323">
        <v>40</v>
      </c>
      <c r="K323" t="s">
        <v>21</v>
      </c>
      <c r="L323" t="str">
        <f xml:space="preserve"> IF(AND(Customer_Table[[#This Row],[Days Since Last Purchase]]&gt;21,Customer_Table[[#This Row],[Satisfaction Level]] = "Unsatisfied"), "At Risk", "Low Risk")</f>
        <v>At Risk</v>
      </c>
      <c r="M323" t="str">
        <f t="shared" si="5"/>
        <v>31-35</v>
      </c>
      <c r="N323" t="str">
        <f xml:space="preserve"> IF(Customer_Table[[#This Row],[Total Spend]] &gt;= 1000, "High", IF(Customer_Table[[#This Row],[Total Spend]]&gt;= 600, "Medium", "Low"))</f>
        <v>Medium</v>
      </c>
      <c r="O32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24" spans="1:15" x14ac:dyDescent="0.25">
      <c r="A324" s="1">
        <v>423</v>
      </c>
      <c r="B324" t="s">
        <v>11</v>
      </c>
      <c r="C324">
        <v>36</v>
      </c>
      <c r="D324" t="s">
        <v>24</v>
      </c>
      <c r="E324" t="s">
        <v>20</v>
      </c>
      <c r="F324" s="3">
        <v>470.5</v>
      </c>
      <c r="G324">
        <v>8</v>
      </c>
      <c r="H324">
        <v>3</v>
      </c>
      <c r="I324" s="1" t="b">
        <v>0</v>
      </c>
      <c r="J324">
        <v>26</v>
      </c>
      <c r="K324" t="s">
        <v>18</v>
      </c>
      <c r="L324" t="str">
        <f xml:space="preserve"> IF(AND(Customer_Table[[#This Row],[Days Since Last Purchase]]&gt;21,Customer_Table[[#This Row],[Satisfaction Level]] = "Unsatisfied"), "At Risk", "Low Risk")</f>
        <v>Low Risk</v>
      </c>
      <c r="M324" t="str">
        <f t="shared" si="5"/>
        <v>36-40</v>
      </c>
      <c r="N324" t="str">
        <f xml:space="preserve"> IF(Customer_Table[[#This Row],[Total Spend]] &gt;= 1000, "High", IF(Customer_Table[[#This Row],[Total Spend]]&gt;= 600, "Medium", "Low"))</f>
        <v>Low</v>
      </c>
      <c r="O32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25" spans="1:15" x14ac:dyDescent="0.25">
      <c r="A325" s="1">
        <v>424</v>
      </c>
      <c r="B325" t="s">
        <v>11</v>
      </c>
      <c r="C325">
        <v>30</v>
      </c>
      <c r="D325" t="s">
        <v>12</v>
      </c>
      <c r="E325" t="s">
        <v>13</v>
      </c>
      <c r="F325" s="3">
        <v>1190.8</v>
      </c>
      <c r="G325">
        <v>16</v>
      </c>
      <c r="H325">
        <v>4.5</v>
      </c>
      <c r="I325" s="1" t="b">
        <v>1</v>
      </c>
      <c r="J325">
        <v>27</v>
      </c>
      <c r="K325" t="s">
        <v>14</v>
      </c>
      <c r="L325" t="str">
        <f xml:space="preserve"> IF(AND(Customer_Table[[#This Row],[Days Since Last Purchase]]&gt;21,Customer_Table[[#This Row],[Satisfaction Level]] = "Unsatisfied"), "At Risk", "Low Risk")</f>
        <v>Low Risk</v>
      </c>
      <c r="M325" t="str">
        <f t="shared" si="5"/>
        <v>26-30</v>
      </c>
      <c r="N325" t="str">
        <f xml:space="preserve"> IF(Customer_Table[[#This Row],[Total Spend]] &gt;= 1000, "High", IF(Customer_Table[[#This Row],[Total Spend]]&gt;= 600, "Medium", "Low"))</f>
        <v>High</v>
      </c>
      <c r="O32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26" spans="1:15" x14ac:dyDescent="0.25">
      <c r="A326" s="1">
        <v>425</v>
      </c>
      <c r="B326" t="s">
        <v>15</v>
      </c>
      <c r="C326">
        <v>34</v>
      </c>
      <c r="D326" t="s">
        <v>16</v>
      </c>
      <c r="E326" t="s">
        <v>17</v>
      </c>
      <c r="F326" s="3">
        <v>780.2</v>
      </c>
      <c r="G326">
        <v>11</v>
      </c>
      <c r="H326">
        <v>4.2</v>
      </c>
      <c r="I326" s="1" t="b">
        <v>0</v>
      </c>
      <c r="J326">
        <v>18</v>
      </c>
      <c r="K326" t="s">
        <v>18</v>
      </c>
      <c r="L326" t="str">
        <f xml:space="preserve"> IF(AND(Customer_Table[[#This Row],[Days Since Last Purchase]]&gt;21,Customer_Table[[#This Row],[Satisfaction Level]] = "Unsatisfied"), "At Risk", "Low Risk")</f>
        <v>Low Risk</v>
      </c>
      <c r="M326" t="str">
        <f t="shared" si="5"/>
        <v>31-35</v>
      </c>
      <c r="N326" t="str">
        <f xml:space="preserve"> IF(Customer_Table[[#This Row],[Total Spend]] &gt;= 1000, "High", IF(Customer_Table[[#This Row],[Total Spend]]&gt;= 600, "Medium", "Low"))</f>
        <v>Medium</v>
      </c>
      <c r="O32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27" spans="1:15" x14ac:dyDescent="0.25">
      <c r="A327" s="1">
        <v>426</v>
      </c>
      <c r="B327" t="s">
        <v>11</v>
      </c>
      <c r="C327">
        <v>43</v>
      </c>
      <c r="D327" t="s">
        <v>19</v>
      </c>
      <c r="E327" t="s">
        <v>20</v>
      </c>
      <c r="F327" s="3">
        <v>515.75</v>
      </c>
      <c r="G327">
        <v>10</v>
      </c>
      <c r="H327">
        <v>3.3</v>
      </c>
      <c r="I327" s="1" t="b">
        <v>1</v>
      </c>
      <c r="J327">
        <v>47</v>
      </c>
      <c r="K327" t="s">
        <v>21</v>
      </c>
      <c r="L327" t="str">
        <f xml:space="preserve"> IF(AND(Customer_Table[[#This Row],[Days Since Last Purchase]]&gt;21,Customer_Table[[#This Row],[Satisfaction Level]] = "Unsatisfied"), "At Risk", "Low Risk")</f>
        <v>At Risk</v>
      </c>
      <c r="M327" t="str">
        <f t="shared" si="5"/>
        <v>41-43</v>
      </c>
      <c r="N327" t="str">
        <f xml:space="preserve"> IF(Customer_Table[[#This Row],[Total Spend]] &gt;= 1000, "High", IF(Customer_Table[[#This Row],[Total Spend]]&gt;= 600, "Medium", "Low"))</f>
        <v>Low</v>
      </c>
      <c r="O32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28" spans="1:15" x14ac:dyDescent="0.25">
      <c r="A328" s="1">
        <v>427</v>
      </c>
      <c r="B328" t="s">
        <v>15</v>
      </c>
      <c r="C328">
        <v>30</v>
      </c>
      <c r="D328" t="s">
        <v>22</v>
      </c>
      <c r="E328" t="s">
        <v>13</v>
      </c>
      <c r="F328" s="3">
        <v>1450.5</v>
      </c>
      <c r="G328">
        <v>19</v>
      </c>
      <c r="H328">
        <v>4.5999999999999996</v>
      </c>
      <c r="I328" s="1" t="b">
        <v>0</v>
      </c>
      <c r="J328">
        <v>14</v>
      </c>
      <c r="K328" t="s">
        <v>14</v>
      </c>
      <c r="L328" t="str">
        <f xml:space="preserve"> IF(AND(Customer_Table[[#This Row],[Days Since Last Purchase]]&gt;21,Customer_Table[[#This Row],[Satisfaction Level]] = "Unsatisfied"), "At Risk", "Low Risk")</f>
        <v>Low Risk</v>
      </c>
      <c r="M328" t="str">
        <f t="shared" si="5"/>
        <v>26-30</v>
      </c>
      <c r="N328" t="str">
        <f xml:space="preserve"> IF(Customer_Table[[#This Row],[Total Spend]] &gt;= 1000, "High", IF(Customer_Table[[#This Row],[Total Spend]]&gt;= 600, "Medium", "Low"))</f>
        <v>High</v>
      </c>
      <c r="O32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29" spans="1:15" x14ac:dyDescent="0.25">
      <c r="A329" s="1">
        <v>428</v>
      </c>
      <c r="B329" t="s">
        <v>15</v>
      </c>
      <c r="C329">
        <v>27</v>
      </c>
      <c r="D329" t="s">
        <v>23</v>
      </c>
      <c r="E329" t="s">
        <v>17</v>
      </c>
      <c r="F329" s="3">
        <v>710.4</v>
      </c>
      <c r="G329">
        <v>13</v>
      </c>
      <c r="H329">
        <v>4.0999999999999996</v>
      </c>
      <c r="I329" s="1" t="b">
        <v>1</v>
      </c>
      <c r="J329">
        <v>62</v>
      </c>
      <c r="K329" t="s">
        <v>21</v>
      </c>
      <c r="L329" t="str">
        <f xml:space="preserve"> IF(AND(Customer_Table[[#This Row],[Days Since Last Purchase]]&gt;21,Customer_Table[[#This Row],[Satisfaction Level]] = "Unsatisfied"), "At Risk", "Low Risk")</f>
        <v>At Risk</v>
      </c>
      <c r="M329" t="str">
        <f t="shared" si="5"/>
        <v>26-30</v>
      </c>
      <c r="N329" t="str">
        <f xml:space="preserve"> IF(Customer_Table[[#This Row],[Total Spend]] &gt;= 1000, "High", IF(Customer_Table[[#This Row],[Total Spend]]&gt;= 600, "Medium", "Low"))</f>
        <v>Medium</v>
      </c>
      <c r="O32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330" spans="1:15" x14ac:dyDescent="0.25">
      <c r="A330" s="1">
        <v>429</v>
      </c>
      <c r="B330" t="s">
        <v>11</v>
      </c>
      <c r="C330">
        <v>37</v>
      </c>
      <c r="D330" t="s">
        <v>24</v>
      </c>
      <c r="E330" t="s">
        <v>20</v>
      </c>
      <c r="F330" s="3">
        <v>430.8</v>
      </c>
      <c r="G330">
        <v>7</v>
      </c>
      <c r="H330">
        <v>3.4</v>
      </c>
      <c r="I330" s="1" t="b">
        <v>0</v>
      </c>
      <c r="J330">
        <v>31</v>
      </c>
      <c r="K330" t="s">
        <v>18</v>
      </c>
      <c r="L330" t="str">
        <f xml:space="preserve"> IF(AND(Customer_Table[[#This Row],[Days Since Last Purchase]]&gt;21,Customer_Table[[#This Row],[Satisfaction Level]] = "Unsatisfied"), "At Risk", "Low Risk")</f>
        <v>Low Risk</v>
      </c>
      <c r="M330" t="str">
        <f t="shared" si="5"/>
        <v>36-40</v>
      </c>
      <c r="N330" t="str">
        <f xml:space="preserve"> IF(Customer_Table[[#This Row],[Total Spend]] &gt;= 1000, "High", IF(Customer_Table[[#This Row],[Total Spend]]&gt;= 600, "Medium", "Low"))</f>
        <v>Low</v>
      </c>
      <c r="O33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31" spans="1:15" x14ac:dyDescent="0.25">
      <c r="A331" s="1">
        <v>430</v>
      </c>
      <c r="B331" t="s">
        <v>11</v>
      </c>
      <c r="C331">
        <v>31</v>
      </c>
      <c r="D331" t="s">
        <v>12</v>
      </c>
      <c r="E331" t="s">
        <v>13</v>
      </c>
      <c r="F331" s="3">
        <v>1160.5999999999999</v>
      </c>
      <c r="G331">
        <v>15</v>
      </c>
      <c r="H331">
        <v>4.5</v>
      </c>
      <c r="I331" s="1" t="b">
        <v>1</v>
      </c>
      <c r="J331">
        <v>35</v>
      </c>
      <c r="K331" t="s">
        <v>14</v>
      </c>
      <c r="L331" t="str">
        <f xml:space="preserve"> IF(AND(Customer_Table[[#This Row],[Days Since Last Purchase]]&gt;21,Customer_Table[[#This Row],[Satisfaction Level]] = "Unsatisfied"), "At Risk", "Low Risk")</f>
        <v>Low Risk</v>
      </c>
      <c r="M331" t="str">
        <f t="shared" si="5"/>
        <v>31-35</v>
      </c>
      <c r="N331" t="str">
        <f xml:space="preserve"> IF(Customer_Table[[#This Row],[Total Spend]] &gt;= 1000, "High", IF(Customer_Table[[#This Row],[Total Spend]]&gt;= 600, "Medium", "Low"))</f>
        <v>High</v>
      </c>
      <c r="O33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32" spans="1:15" x14ac:dyDescent="0.25">
      <c r="A332" s="1">
        <v>431</v>
      </c>
      <c r="B332" t="s">
        <v>15</v>
      </c>
      <c r="C332">
        <v>35</v>
      </c>
      <c r="D332" t="s">
        <v>16</v>
      </c>
      <c r="E332" t="s">
        <v>17</v>
      </c>
      <c r="F332" s="3">
        <v>820.9</v>
      </c>
      <c r="G332">
        <v>12</v>
      </c>
      <c r="H332">
        <v>4.3</v>
      </c>
      <c r="I332" s="1" t="b">
        <v>0</v>
      </c>
      <c r="J332">
        <v>20</v>
      </c>
      <c r="K332" t="s">
        <v>18</v>
      </c>
      <c r="L332" t="str">
        <f xml:space="preserve"> IF(AND(Customer_Table[[#This Row],[Days Since Last Purchase]]&gt;21,Customer_Table[[#This Row],[Satisfaction Level]] = "Unsatisfied"), "At Risk", "Low Risk")</f>
        <v>Low Risk</v>
      </c>
      <c r="M332" t="str">
        <f t="shared" si="5"/>
        <v>31-35</v>
      </c>
      <c r="N332" t="str">
        <f xml:space="preserve"> IF(Customer_Table[[#This Row],[Total Spend]] &gt;= 1000, "High", IF(Customer_Table[[#This Row],[Total Spend]]&gt;= 600, "Medium", "Low"))</f>
        <v>Medium</v>
      </c>
      <c r="O33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33" spans="1:15" x14ac:dyDescent="0.25">
      <c r="A333" s="1">
        <v>432</v>
      </c>
      <c r="B333" t="s">
        <v>11</v>
      </c>
      <c r="C333">
        <v>41</v>
      </c>
      <c r="D333" t="s">
        <v>19</v>
      </c>
      <c r="E333" t="s">
        <v>20</v>
      </c>
      <c r="F333" s="3">
        <v>495.25</v>
      </c>
      <c r="G333">
        <v>9</v>
      </c>
      <c r="H333">
        <v>3.6</v>
      </c>
      <c r="I333" s="1" t="b">
        <v>1</v>
      </c>
      <c r="J333">
        <v>47</v>
      </c>
      <c r="K333" t="s">
        <v>21</v>
      </c>
      <c r="L333" t="str">
        <f xml:space="preserve"> IF(AND(Customer_Table[[#This Row],[Days Since Last Purchase]]&gt;21,Customer_Table[[#This Row],[Satisfaction Level]] = "Unsatisfied"), "At Risk", "Low Risk")</f>
        <v>At Risk</v>
      </c>
      <c r="M333" t="str">
        <f t="shared" si="5"/>
        <v>41-43</v>
      </c>
      <c r="N333" t="str">
        <f xml:space="preserve"> IF(Customer_Table[[#This Row],[Total Spend]] &gt;= 1000, "High", IF(Customer_Table[[#This Row],[Total Spend]]&gt;= 600, "Medium", "Low"))</f>
        <v>Low</v>
      </c>
      <c r="O33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34" spans="1:15" x14ac:dyDescent="0.25">
      <c r="A334" s="1">
        <v>433</v>
      </c>
      <c r="B334" t="s">
        <v>15</v>
      </c>
      <c r="C334">
        <v>28</v>
      </c>
      <c r="D334" t="s">
        <v>22</v>
      </c>
      <c r="E334" t="s">
        <v>13</v>
      </c>
      <c r="F334" s="3">
        <v>1490.1</v>
      </c>
      <c r="G334">
        <v>21</v>
      </c>
      <c r="H334">
        <v>4.9000000000000004</v>
      </c>
      <c r="I334" s="1" t="b">
        <v>0</v>
      </c>
      <c r="J334">
        <v>11</v>
      </c>
      <c r="K334" t="s">
        <v>14</v>
      </c>
      <c r="L334" t="str">
        <f xml:space="preserve"> IF(AND(Customer_Table[[#This Row],[Days Since Last Purchase]]&gt;21,Customer_Table[[#This Row],[Satisfaction Level]] = "Unsatisfied"), "At Risk", "Low Risk")</f>
        <v>Low Risk</v>
      </c>
      <c r="M334" t="str">
        <f t="shared" si="5"/>
        <v>26-30</v>
      </c>
      <c r="N334" t="str">
        <f xml:space="preserve"> IF(Customer_Table[[#This Row],[Total Spend]] &gt;= 1000, "High", IF(Customer_Table[[#This Row],[Total Spend]]&gt;= 600, "Medium", "Low"))</f>
        <v>High</v>
      </c>
      <c r="O33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35" spans="1:15" x14ac:dyDescent="0.25">
      <c r="A335" s="1">
        <v>434</v>
      </c>
      <c r="B335" t="s">
        <v>15</v>
      </c>
      <c r="C335">
        <v>32</v>
      </c>
      <c r="D335" t="s">
        <v>23</v>
      </c>
      <c r="E335" t="s">
        <v>17</v>
      </c>
      <c r="F335" s="3">
        <v>660.3</v>
      </c>
      <c r="G335">
        <v>10</v>
      </c>
      <c r="H335">
        <v>3.8</v>
      </c>
      <c r="I335" s="1" t="b">
        <v>1</v>
      </c>
      <c r="J335">
        <v>41</v>
      </c>
      <c r="K335" t="s">
        <v>21</v>
      </c>
      <c r="L335" t="str">
        <f xml:space="preserve"> IF(AND(Customer_Table[[#This Row],[Days Since Last Purchase]]&gt;21,Customer_Table[[#This Row],[Satisfaction Level]] = "Unsatisfied"), "At Risk", "Low Risk")</f>
        <v>At Risk</v>
      </c>
      <c r="M335" t="str">
        <f t="shared" si="5"/>
        <v>31-35</v>
      </c>
      <c r="N335" t="str">
        <f xml:space="preserve"> IF(Customer_Table[[#This Row],[Total Spend]] &gt;= 1000, "High", IF(Customer_Table[[#This Row],[Total Spend]]&gt;= 600, "Medium", "Low"))</f>
        <v>Medium</v>
      </c>
      <c r="O33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36" spans="1:15" x14ac:dyDescent="0.25">
      <c r="A336" s="1">
        <v>435</v>
      </c>
      <c r="B336" t="s">
        <v>11</v>
      </c>
      <c r="C336">
        <v>36</v>
      </c>
      <c r="D336" t="s">
        <v>24</v>
      </c>
      <c r="E336" t="s">
        <v>20</v>
      </c>
      <c r="F336" s="3">
        <v>440.5</v>
      </c>
      <c r="G336">
        <v>8</v>
      </c>
      <c r="H336">
        <v>3.1</v>
      </c>
      <c r="I336" s="1" t="b">
        <v>0</v>
      </c>
      <c r="J336">
        <v>28</v>
      </c>
      <c r="K336" t="s">
        <v>18</v>
      </c>
      <c r="L336" t="str">
        <f xml:space="preserve"> IF(AND(Customer_Table[[#This Row],[Days Since Last Purchase]]&gt;21,Customer_Table[[#This Row],[Satisfaction Level]] = "Unsatisfied"), "At Risk", "Low Risk")</f>
        <v>Low Risk</v>
      </c>
      <c r="M336" t="str">
        <f t="shared" si="5"/>
        <v>36-40</v>
      </c>
      <c r="N336" t="str">
        <f xml:space="preserve"> IF(Customer_Table[[#This Row],[Total Spend]] &gt;= 1000, "High", IF(Customer_Table[[#This Row],[Total Spend]]&gt;= 600, "Medium", "Low"))</f>
        <v>Low</v>
      </c>
      <c r="O33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37" spans="1:15" x14ac:dyDescent="0.25">
      <c r="A337" s="1">
        <v>436</v>
      </c>
      <c r="B337" t="s">
        <v>11</v>
      </c>
      <c r="C337">
        <v>30</v>
      </c>
      <c r="D337" t="s">
        <v>12</v>
      </c>
      <c r="E337" t="s">
        <v>13</v>
      </c>
      <c r="F337" s="3">
        <v>1200.8</v>
      </c>
      <c r="G337">
        <v>16</v>
      </c>
      <c r="H337">
        <v>4.7</v>
      </c>
      <c r="I337" s="1" t="b">
        <v>1</v>
      </c>
      <c r="J337">
        <v>28</v>
      </c>
      <c r="K337" t="s">
        <v>14</v>
      </c>
      <c r="L337" t="str">
        <f xml:space="preserve"> IF(AND(Customer_Table[[#This Row],[Days Since Last Purchase]]&gt;21,Customer_Table[[#This Row],[Satisfaction Level]] = "Unsatisfied"), "At Risk", "Low Risk")</f>
        <v>Low Risk</v>
      </c>
      <c r="M337" t="str">
        <f t="shared" si="5"/>
        <v>26-30</v>
      </c>
      <c r="N337" t="str">
        <f xml:space="preserve"> IF(Customer_Table[[#This Row],[Total Spend]] &gt;= 1000, "High", IF(Customer_Table[[#This Row],[Total Spend]]&gt;= 600, "Medium", "Low"))</f>
        <v>High</v>
      </c>
      <c r="O33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38" spans="1:15" x14ac:dyDescent="0.25">
      <c r="A338" s="1">
        <v>437</v>
      </c>
      <c r="B338" t="s">
        <v>15</v>
      </c>
      <c r="C338">
        <v>34</v>
      </c>
      <c r="D338" t="s">
        <v>16</v>
      </c>
      <c r="E338" t="s">
        <v>17</v>
      </c>
      <c r="F338" s="3">
        <v>780.2</v>
      </c>
      <c r="G338">
        <v>11</v>
      </c>
      <c r="H338">
        <v>4.0999999999999996</v>
      </c>
      <c r="I338" s="1" t="b">
        <v>0</v>
      </c>
      <c r="J338">
        <v>19</v>
      </c>
      <c r="K338" t="s">
        <v>18</v>
      </c>
      <c r="L338" t="str">
        <f xml:space="preserve"> IF(AND(Customer_Table[[#This Row],[Days Since Last Purchase]]&gt;21,Customer_Table[[#This Row],[Satisfaction Level]] = "Unsatisfied"), "At Risk", "Low Risk")</f>
        <v>Low Risk</v>
      </c>
      <c r="M338" t="str">
        <f t="shared" si="5"/>
        <v>31-35</v>
      </c>
      <c r="N338" t="str">
        <f xml:space="preserve"> IF(Customer_Table[[#This Row],[Total Spend]] &gt;= 1000, "High", IF(Customer_Table[[#This Row],[Total Spend]]&gt;= 600, "Medium", "Low"))</f>
        <v>Medium</v>
      </c>
      <c r="O33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39" spans="1:15" x14ac:dyDescent="0.25">
      <c r="A339" s="1">
        <v>438</v>
      </c>
      <c r="B339" t="s">
        <v>11</v>
      </c>
      <c r="C339">
        <v>43</v>
      </c>
      <c r="D339" t="s">
        <v>19</v>
      </c>
      <c r="E339" t="s">
        <v>20</v>
      </c>
      <c r="F339" s="3">
        <v>505.75</v>
      </c>
      <c r="G339">
        <v>10</v>
      </c>
      <c r="H339">
        <v>3.3</v>
      </c>
      <c r="I339" s="1" t="b">
        <v>1</v>
      </c>
      <c r="J339">
        <v>48</v>
      </c>
      <c r="K339" t="s">
        <v>21</v>
      </c>
      <c r="L339" t="str">
        <f xml:space="preserve"> IF(AND(Customer_Table[[#This Row],[Days Since Last Purchase]]&gt;21,Customer_Table[[#This Row],[Satisfaction Level]] = "Unsatisfied"), "At Risk", "Low Risk")</f>
        <v>At Risk</v>
      </c>
      <c r="M339" t="str">
        <f t="shared" si="5"/>
        <v>41-43</v>
      </c>
      <c r="N339" t="str">
        <f xml:space="preserve"> IF(Customer_Table[[#This Row],[Total Spend]] &gt;= 1000, "High", IF(Customer_Table[[#This Row],[Total Spend]]&gt;= 600, "Medium", "Low"))</f>
        <v>Low</v>
      </c>
      <c r="O33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40" spans="1:15" x14ac:dyDescent="0.25">
      <c r="A340" s="1">
        <v>439</v>
      </c>
      <c r="B340" t="s">
        <v>15</v>
      </c>
      <c r="C340">
        <v>30</v>
      </c>
      <c r="D340" t="s">
        <v>22</v>
      </c>
      <c r="E340" t="s">
        <v>13</v>
      </c>
      <c r="F340" s="3">
        <v>1460.5</v>
      </c>
      <c r="G340">
        <v>20</v>
      </c>
      <c r="H340">
        <v>4.8</v>
      </c>
      <c r="I340" s="1" t="b">
        <v>0</v>
      </c>
      <c r="J340">
        <v>15</v>
      </c>
      <c r="K340" t="s">
        <v>14</v>
      </c>
      <c r="L340" t="str">
        <f xml:space="preserve"> IF(AND(Customer_Table[[#This Row],[Days Since Last Purchase]]&gt;21,Customer_Table[[#This Row],[Satisfaction Level]] = "Unsatisfied"), "At Risk", "Low Risk")</f>
        <v>Low Risk</v>
      </c>
      <c r="M340" t="str">
        <f t="shared" si="5"/>
        <v>26-30</v>
      </c>
      <c r="N340" t="str">
        <f xml:space="preserve"> IF(Customer_Table[[#This Row],[Total Spend]] &gt;= 1000, "High", IF(Customer_Table[[#This Row],[Total Spend]]&gt;= 600, "Medium", "Low"))</f>
        <v>High</v>
      </c>
      <c r="O34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41" spans="1:15" x14ac:dyDescent="0.25">
      <c r="A341" s="1">
        <v>440</v>
      </c>
      <c r="B341" t="s">
        <v>15</v>
      </c>
      <c r="C341">
        <v>27</v>
      </c>
      <c r="D341" t="s">
        <v>23</v>
      </c>
      <c r="E341" t="s">
        <v>17</v>
      </c>
      <c r="F341" s="3">
        <v>710.4</v>
      </c>
      <c r="G341">
        <v>13</v>
      </c>
      <c r="H341">
        <v>4.0999999999999996</v>
      </c>
      <c r="I341" s="1" t="b">
        <v>1</v>
      </c>
      <c r="J341">
        <v>63</v>
      </c>
      <c r="K341" t="s">
        <v>21</v>
      </c>
      <c r="L341" t="str">
        <f xml:space="preserve"> IF(AND(Customer_Table[[#This Row],[Days Since Last Purchase]]&gt;21,Customer_Table[[#This Row],[Satisfaction Level]] = "Unsatisfied"), "At Risk", "Low Risk")</f>
        <v>At Risk</v>
      </c>
      <c r="M341" t="str">
        <f t="shared" si="5"/>
        <v>26-30</v>
      </c>
      <c r="N341" t="str">
        <f xml:space="preserve"> IF(Customer_Table[[#This Row],[Total Spend]] &gt;= 1000, "High", IF(Customer_Table[[#This Row],[Total Spend]]&gt;= 600, "Medium", "Low"))</f>
        <v>Medium</v>
      </c>
      <c r="O34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9 weeks</v>
      </c>
    </row>
    <row r="342" spans="1:15" x14ac:dyDescent="0.25">
      <c r="A342" s="1">
        <v>441</v>
      </c>
      <c r="B342" t="s">
        <v>11</v>
      </c>
      <c r="C342">
        <v>37</v>
      </c>
      <c r="D342" t="s">
        <v>24</v>
      </c>
      <c r="E342" t="s">
        <v>20</v>
      </c>
      <c r="F342" s="3">
        <v>450.8</v>
      </c>
      <c r="G342">
        <v>7</v>
      </c>
      <c r="H342">
        <v>3.4</v>
      </c>
      <c r="I342" s="1" t="b">
        <v>0</v>
      </c>
      <c r="J342">
        <v>32</v>
      </c>
      <c r="K342" t="s">
        <v>18</v>
      </c>
      <c r="L342" t="str">
        <f xml:space="preserve"> IF(AND(Customer_Table[[#This Row],[Days Since Last Purchase]]&gt;21,Customer_Table[[#This Row],[Satisfaction Level]] = "Unsatisfied"), "At Risk", "Low Risk")</f>
        <v>Low Risk</v>
      </c>
      <c r="M342" t="str">
        <f t="shared" si="5"/>
        <v>36-40</v>
      </c>
      <c r="N342" t="str">
        <f xml:space="preserve"> IF(Customer_Table[[#This Row],[Total Spend]] &gt;= 1000, "High", IF(Customer_Table[[#This Row],[Total Spend]]&gt;= 600, "Medium", "Low"))</f>
        <v>Low</v>
      </c>
      <c r="O342"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5 weeks</v>
      </c>
    </row>
    <row r="343" spans="1:15" x14ac:dyDescent="0.25">
      <c r="A343" s="1">
        <v>442</v>
      </c>
      <c r="B343" t="s">
        <v>11</v>
      </c>
      <c r="C343">
        <v>31</v>
      </c>
      <c r="D343" t="s">
        <v>12</v>
      </c>
      <c r="E343" t="s">
        <v>13</v>
      </c>
      <c r="F343" s="3">
        <v>1140.5999999999999</v>
      </c>
      <c r="G343">
        <v>15</v>
      </c>
      <c r="H343">
        <v>4.5</v>
      </c>
      <c r="I343" s="1" t="b">
        <v>1</v>
      </c>
      <c r="J343">
        <v>36</v>
      </c>
      <c r="K343" t="s">
        <v>14</v>
      </c>
      <c r="L343" t="str">
        <f xml:space="preserve"> IF(AND(Customer_Table[[#This Row],[Days Since Last Purchase]]&gt;21,Customer_Table[[#This Row],[Satisfaction Level]] = "Unsatisfied"), "At Risk", "Low Risk")</f>
        <v>Low Risk</v>
      </c>
      <c r="M343" t="str">
        <f t="shared" si="5"/>
        <v>31-35</v>
      </c>
      <c r="N343" t="str">
        <f xml:space="preserve"> IF(Customer_Table[[#This Row],[Total Spend]] &gt;= 1000, "High", IF(Customer_Table[[#This Row],[Total Spend]]&gt;= 600, "Medium", "Low"))</f>
        <v>High</v>
      </c>
      <c r="O343"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44" spans="1:15" x14ac:dyDescent="0.25">
      <c r="A344" s="1">
        <v>443</v>
      </c>
      <c r="B344" t="s">
        <v>15</v>
      </c>
      <c r="C344">
        <v>35</v>
      </c>
      <c r="D344" t="s">
        <v>16</v>
      </c>
      <c r="E344" t="s">
        <v>17</v>
      </c>
      <c r="F344" s="3">
        <v>800.9</v>
      </c>
      <c r="G344">
        <v>12</v>
      </c>
      <c r="H344">
        <v>4.0999999999999996</v>
      </c>
      <c r="I344" s="1" t="b">
        <v>0</v>
      </c>
      <c r="J344">
        <v>20</v>
      </c>
      <c r="K344" t="s">
        <v>18</v>
      </c>
      <c r="L344" t="str">
        <f xml:space="preserve"> IF(AND(Customer_Table[[#This Row],[Days Since Last Purchase]]&gt;21,Customer_Table[[#This Row],[Satisfaction Level]] = "Unsatisfied"), "At Risk", "Low Risk")</f>
        <v>Low Risk</v>
      </c>
      <c r="M344" t="str">
        <f t="shared" si="5"/>
        <v>31-35</v>
      </c>
      <c r="N344" t="str">
        <f xml:space="preserve"> IF(Customer_Table[[#This Row],[Total Spend]] &gt;= 1000, "High", IF(Customer_Table[[#This Row],[Total Spend]]&gt;= 600, "Medium", "Low"))</f>
        <v>Medium</v>
      </c>
      <c r="O344"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45" spans="1:15" x14ac:dyDescent="0.25">
      <c r="A345" s="1">
        <v>444</v>
      </c>
      <c r="B345" t="s">
        <v>11</v>
      </c>
      <c r="C345">
        <v>41</v>
      </c>
      <c r="D345" t="s">
        <v>19</v>
      </c>
      <c r="E345" t="s">
        <v>20</v>
      </c>
      <c r="F345" s="3">
        <v>475.25</v>
      </c>
      <c r="G345">
        <v>9</v>
      </c>
      <c r="H345">
        <v>3.6</v>
      </c>
      <c r="I345" s="1" t="b">
        <v>1</v>
      </c>
      <c r="J345">
        <v>48</v>
      </c>
      <c r="K345" t="s">
        <v>21</v>
      </c>
      <c r="L345" t="str">
        <f xml:space="preserve"> IF(AND(Customer_Table[[#This Row],[Days Since Last Purchase]]&gt;21,Customer_Table[[#This Row],[Satisfaction Level]] = "Unsatisfied"), "At Risk", "Low Risk")</f>
        <v>At Risk</v>
      </c>
      <c r="M345" t="str">
        <f t="shared" si="5"/>
        <v>41-43</v>
      </c>
      <c r="N345" t="str">
        <f xml:space="preserve"> IF(Customer_Table[[#This Row],[Total Spend]] &gt;= 1000, "High", IF(Customer_Table[[#This Row],[Total Spend]]&gt;= 600, "Medium", "Low"))</f>
        <v>Low</v>
      </c>
      <c r="O345"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row r="346" spans="1:15" x14ac:dyDescent="0.25">
      <c r="A346" s="1">
        <v>445</v>
      </c>
      <c r="B346" t="s">
        <v>15</v>
      </c>
      <c r="C346">
        <v>28</v>
      </c>
      <c r="D346" t="s">
        <v>22</v>
      </c>
      <c r="E346" t="s">
        <v>13</v>
      </c>
      <c r="F346" s="3">
        <v>1480.1</v>
      </c>
      <c r="G346">
        <v>21</v>
      </c>
      <c r="H346">
        <v>4.9000000000000004</v>
      </c>
      <c r="I346" s="1" t="b">
        <v>0</v>
      </c>
      <c r="J346">
        <v>13</v>
      </c>
      <c r="K346" t="s">
        <v>14</v>
      </c>
      <c r="L346" t="str">
        <f xml:space="preserve"> IF(AND(Customer_Table[[#This Row],[Days Since Last Purchase]]&gt;21,Customer_Table[[#This Row],[Satisfaction Level]] = "Unsatisfied"), "At Risk", "Low Risk")</f>
        <v>Low Risk</v>
      </c>
      <c r="M346" t="str">
        <f t="shared" si="5"/>
        <v>26-30</v>
      </c>
      <c r="N346" t="str">
        <f xml:space="preserve"> IF(Customer_Table[[#This Row],[Total Spend]] &gt;= 1000, "High", IF(Customer_Table[[#This Row],[Total Spend]]&gt;= 600, "Medium", "Low"))</f>
        <v>High</v>
      </c>
      <c r="O346"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2 weeks</v>
      </c>
    </row>
    <row r="347" spans="1:15" x14ac:dyDescent="0.25">
      <c r="A347" s="1">
        <v>446</v>
      </c>
      <c r="B347" t="s">
        <v>15</v>
      </c>
      <c r="C347">
        <v>32</v>
      </c>
      <c r="D347" t="s">
        <v>23</v>
      </c>
      <c r="E347" t="s">
        <v>17</v>
      </c>
      <c r="F347" s="3">
        <v>660.3</v>
      </c>
      <c r="G347">
        <v>10</v>
      </c>
      <c r="H347">
        <v>3.8</v>
      </c>
      <c r="I347" s="1" t="b">
        <v>1</v>
      </c>
      <c r="J347">
        <v>42</v>
      </c>
      <c r="K347" t="s">
        <v>21</v>
      </c>
      <c r="L347" t="str">
        <f xml:space="preserve"> IF(AND(Customer_Table[[#This Row],[Days Since Last Purchase]]&gt;21,Customer_Table[[#This Row],[Satisfaction Level]] = "Unsatisfied"), "At Risk", "Low Risk")</f>
        <v>At Risk</v>
      </c>
      <c r="M347" t="str">
        <f t="shared" si="5"/>
        <v>31-35</v>
      </c>
      <c r="N347" t="str">
        <f xml:space="preserve"> IF(Customer_Table[[#This Row],[Total Spend]] &gt;= 1000, "High", IF(Customer_Table[[#This Row],[Total Spend]]&gt;= 600, "Medium", "Low"))</f>
        <v>Medium</v>
      </c>
      <c r="O347"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6 weeks</v>
      </c>
    </row>
    <row r="348" spans="1:15" x14ac:dyDescent="0.25">
      <c r="A348" s="1">
        <v>447</v>
      </c>
      <c r="B348" t="s">
        <v>11</v>
      </c>
      <c r="C348">
        <v>36</v>
      </c>
      <c r="D348" t="s">
        <v>24</v>
      </c>
      <c r="E348" t="s">
        <v>20</v>
      </c>
      <c r="F348" s="3">
        <v>470.5</v>
      </c>
      <c r="G348">
        <v>8</v>
      </c>
      <c r="H348">
        <v>3</v>
      </c>
      <c r="I348" s="1" t="b">
        <v>0</v>
      </c>
      <c r="J348">
        <v>27</v>
      </c>
      <c r="K348" t="s">
        <v>18</v>
      </c>
      <c r="L348" t="str">
        <f xml:space="preserve"> IF(AND(Customer_Table[[#This Row],[Days Since Last Purchase]]&gt;21,Customer_Table[[#This Row],[Satisfaction Level]] = "Unsatisfied"), "At Risk", "Low Risk")</f>
        <v>Low Risk</v>
      </c>
      <c r="M348" t="str">
        <f t="shared" si="5"/>
        <v>36-40</v>
      </c>
      <c r="N348" t="str">
        <f xml:space="preserve"> IF(Customer_Table[[#This Row],[Total Spend]] &gt;= 1000, "High", IF(Customer_Table[[#This Row],[Total Spend]]&gt;= 600, "Medium", "Low"))</f>
        <v>Low</v>
      </c>
      <c r="O348"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49" spans="1:15" x14ac:dyDescent="0.25">
      <c r="A349" s="1">
        <v>448</v>
      </c>
      <c r="B349" t="s">
        <v>11</v>
      </c>
      <c r="C349">
        <v>30</v>
      </c>
      <c r="D349" t="s">
        <v>12</v>
      </c>
      <c r="E349" t="s">
        <v>13</v>
      </c>
      <c r="F349" s="3">
        <v>1190.8</v>
      </c>
      <c r="G349">
        <v>16</v>
      </c>
      <c r="H349">
        <v>4.5</v>
      </c>
      <c r="I349" s="1" t="b">
        <v>1</v>
      </c>
      <c r="J349">
        <v>28</v>
      </c>
      <c r="K349" t="s">
        <v>14</v>
      </c>
      <c r="L349" t="str">
        <f xml:space="preserve"> IF(AND(Customer_Table[[#This Row],[Days Since Last Purchase]]&gt;21,Customer_Table[[#This Row],[Satisfaction Level]] = "Unsatisfied"), "At Risk", "Low Risk")</f>
        <v>Low Risk</v>
      </c>
      <c r="M349" t="str">
        <f t="shared" si="5"/>
        <v>26-30</v>
      </c>
      <c r="N349" t="str">
        <f xml:space="preserve"> IF(Customer_Table[[#This Row],[Total Spend]] &gt;= 1000, "High", IF(Customer_Table[[#This Row],[Total Spend]]&gt;= 600, "Medium", "Low"))</f>
        <v>High</v>
      </c>
      <c r="O349"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4 weeks</v>
      </c>
    </row>
    <row r="350" spans="1:15" x14ac:dyDescent="0.25">
      <c r="A350" s="1">
        <v>449</v>
      </c>
      <c r="B350" t="s">
        <v>15</v>
      </c>
      <c r="C350">
        <v>34</v>
      </c>
      <c r="D350" t="s">
        <v>16</v>
      </c>
      <c r="E350" t="s">
        <v>17</v>
      </c>
      <c r="F350" s="3">
        <v>780.2</v>
      </c>
      <c r="G350">
        <v>11</v>
      </c>
      <c r="H350">
        <v>4.2</v>
      </c>
      <c r="I350" s="1" t="b">
        <v>0</v>
      </c>
      <c r="J350">
        <v>21</v>
      </c>
      <c r="K350" t="s">
        <v>18</v>
      </c>
      <c r="L350" t="str">
        <f xml:space="preserve"> IF(AND(Customer_Table[[#This Row],[Days Since Last Purchase]]&gt;21,Customer_Table[[#This Row],[Satisfaction Level]] = "Unsatisfied"), "At Risk", "Low Risk")</f>
        <v>Low Risk</v>
      </c>
      <c r="M350" t="str">
        <f t="shared" si="5"/>
        <v>31-35</v>
      </c>
      <c r="N350" t="str">
        <f xml:space="preserve"> IF(Customer_Table[[#This Row],[Total Spend]] &gt;= 1000, "High", IF(Customer_Table[[#This Row],[Total Spend]]&gt;= 600, "Medium", "Low"))</f>
        <v>Medium</v>
      </c>
      <c r="O350"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3 weeks</v>
      </c>
    </row>
    <row r="351" spans="1:15" x14ac:dyDescent="0.25">
      <c r="A351" s="1">
        <v>450</v>
      </c>
      <c r="B351" t="s">
        <v>11</v>
      </c>
      <c r="C351">
        <v>43</v>
      </c>
      <c r="D351" t="s">
        <v>19</v>
      </c>
      <c r="E351" t="s">
        <v>20</v>
      </c>
      <c r="F351" s="3">
        <v>515.75</v>
      </c>
      <c r="G351">
        <v>10</v>
      </c>
      <c r="H351">
        <v>3.3</v>
      </c>
      <c r="I351" s="1" t="b">
        <v>1</v>
      </c>
      <c r="J351">
        <v>49</v>
      </c>
      <c r="K351" t="s">
        <v>21</v>
      </c>
      <c r="L351" t="str">
        <f xml:space="preserve"> IF(AND(Customer_Table[[#This Row],[Days Since Last Purchase]]&gt;21,Customer_Table[[#This Row],[Satisfaction Level]] = "Unsatisfied"), "At Risk", "Low Risk")</f>
        <v>At Risk</v>
      </c>
      <c r="M351" t="str">
        <f t="shared" si="5"/>
        <v>41-43</v>
      </c>
      <c r="N351" t="str">
        <f xml:space="preserve"> IF(Customer_Table[[#This Row],[Total Spend]] &gt;= 1000, "High", IF(Customer_Table[[#This Row],[Total Spend]]&gt;= 600, "Medium", "Low"))</f>
        <v>Low</v>
      </c>
      <c r="O351" s="2" t="str">
        <f xml:space="preserve"> IF( Customer_Table[[#This Row],[Days Since Last Purchase]]&lt;= 7, "1 week", IF(Customer_Table[[#This Row],[Days Since Last Purchase]]&lt;= 14, "2 weeks", IF( Customer_Table[[#This Row],[Days Since Last Purchase]]&lt;= 21, "3 weeks", IF( Customer_Table[[#This Row],[Days Since Last Purchase]]&lt;= 28, "4 weeks",IF( Customer_Table[[#This Row],[Days Since Last Purchase]]&lt;= 35, "5 weeks", IF( Customer_Table[[#This Row],[Days Since Last Purchase]]&lt;= 42, "6 weeks", IF( Customer_Table[[#This Row],[Days Since Last Purchase]]&lt;= 49, "7 weeks",IF( Customer_Table[[#This Row],[Days Since Last Purchase]]&lt;= 56, "8 weeks", "9 weeks"))))))))</f>
        <v>7 weeks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topLeftCell="G1" workbookViewId="0">
      <selection activeCell="K4" sqref="K4"/>
    </sheetView>
  </sheetViews>
  <sheetFormatPr defaultRowHeight="15" x14ac:dyDescent="0.25"/>
  <cols>
    <col min="1" max="1" width="13.85546875" bestFit="1" customWidth="1"/>
    <col min="3" max="3" width="14.5703125" bestFit="1" customWidth="1"/>
    <col min="4" max="4" width="11.28515625" customWidth="1"/>
    <col min="5" max="5" width="19.85546875" bestFit="1" customWidth="1"/>
    <col min="6" max="6" width="12.5703125" customWidth="1"/>
    <col min="7" max="7" width="14" bestFit="1" customWidth="1"/>
    <col min="9" max="9" width="16.7109375" bestFit="1" customWidth="1"/>
    <col min="11" max="11" width="17.42578125" bestFit="1" customWidth="1"/>
  </cols>
  <sheetData>
    <row r="1" spans="1:11" x14ac:dyDescent="0.25">
      <c r="A1" t="s">
        <v>28</v>
      </c>
      <c r="C1" t="s">
        <v>29</v>
      </c>
      <c r="E1" t="s">
        <v>43</v>
      </c>
      <c r="G1" t="s">
        <v>42</v>
      </c>
      <c r="I1" t="s">
        <v>30</v>
      </c>
      <c r="K1" t="s">
        <v>44</v>
      </c>
    </row>
    <row r="2" spans="1:11" x14ac:dyDescent="0.25">
      <c r="A2" s="4">
        <f>SUM(Customer_Table[Total Spend])</f>
        <v>295883.59999999969</v>
      </c>
      <c r="C2">
        <f>COUNTA(Customer_Table[Customer ID])</f>
        <v>350</v>
      </c>
      <c r="E2">
        <f xml:space="preserve"> SUM('Raw Data'!G:G)</f>
        <v>4410</v>
      </c>
      <c r="G2" s="4">
        <f>AVERAGE(Customer_Table[Total Spend])</f>
        <v>845.38171428571343</v>
      </c>
      <c r="I2">
        <f>COUNTIF(Customer_Table[Churn Risk],"At Risk")</f>
        <v>116</v>
      </c>
      <c r="K2" s="5">
        <f>(COUNTIF(Customer_Table[Churn Risk],"At Risk"))/COUNTA(Customer_Table[Churn Risk])</f>
        <v>0.33142857142857141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6"/>
  <sheetViews>
    <sheetView tabSelected="1" topLeftCell="A86" zoomScale="85" zoomScaleNormal="85" workbookViewId="0">
      <selection activeCell="B89" sqref="B89"/>
    </sheetView>
  </sheetViews>
  <sheetFormatPr defaultRowHeight="15" x14ac:dyDescent="0.25"/>
  <cols>
    <col min="1" max="1" width="20.140625" bestFit="1" customWidth="1"/>
    <col min="2" max="2" width="26.140625" bestFit="1" customWidth="1"/>
    <col min="3" max="3" width="22.5703125" bestFit="1" customWidth="1"/>
    <col min="4" max="4" width="11.28515625" customWidth="1"/>
    <col min="6" max="6" width="14" bestFit="1" customWidth="1"/>
    <col min="8" max="8" width="16.7109375" bestFit="1" customWidth="1"/>
    <col min="10" max="10" width="10.7109375" bestFit="1" customWidth="1"/>
  </cols>
  <sheetData>
    <row r="2" spans="1:10" x14ac:dyDescent="0.25">
      <c r="A2" s="6" t="s">
        <v>4</v>
      </c>
      <c r="B2" t="s">
        <v>31</v>
      </c>
      <c r="C2" t="s">
        <v>45</v>
      </c>
    </row>
    <row r="3" spans="1:10" x14ac:dyDescent="0.25">
      <c r="A3" s="7" t="s">
        <v>20</v>
      </c>
      <c r="B3" s="8">
        <v>473.38879310344856</v>
      </c>
      <c r="C3" s="8">
        <v>985</v>
      </c>
    </row>
    <row r="4" spans="1:10" x14ac:dyDescent="0.25">
      <c r="A4" s="7" t="s">
        <v>17</v>
      </c>
      <c r="B4" s="8">
        <v>748.43247863247814</v>
      </c>
      <c r="C4" s="8">
        <v>1364</v>
      </c>
    </row>
    <row r="5" spans="1:10" x14ac:dyDescent="0.25">
      <c r="A5" s="7" t="s">
        <v>13</v>
      </c>
      <c r="B5" s="8">
        <v>1311.1444444444455</v>
      </c>
      <c r="C5" s="8">
        <v>2061</v>
      </c>
      <c r="F5" s="4"/>
      <c r="J5" s="5"/>
    </row>
    <row r="22" spans="1:3" x14ac:dyDescent="0.25">
      <c r="A22" s="6" t="s">
        <v>10</v>
      </c>
      <c r="B22" t="s">
        <v>46</v>
      </c>
      <c r="C22" t="s">
        <v>48</v>
      </c>
    </row>
    <row r="23" spans="1:3" x14ac:dyDescent="0.25">
      <c r="A23" s="7" t="s">
        <v>18</v>
      </c>
      <c r="B23" s="8">
        <v>9.3944954128440372</v>
      </c>
      <c r="C23" s="2">
        <v>109</v>
      </c>
    </row>
    <row r="24" spans="1:3" x14ac:dyDescent="0.25">
      <c r="A24" s="7" t="s">
        <v>21</v>
      </c>
      <c r="B24" s="8">
        <v>10.525862068965518</v>
      </c>
      <c r="C24" s="2">
        <v>116</v>
      </c>
    </row>
    <row r="25" spans="1:3" x14ac:dyDescent="0.25">
      <c r="A25" s="7" t="s">
        <v>14</v>
      </c>
      <c r="B25" s="8">
        <v>17.32</v>
      </c>
      <c r="C25" s="2">
        <v>125</v>
      </c>
    </row>
    <row r="26" spans="1:3" x14ac:dyDescent="0.25">
      <c r="B26" s="8"/>
    </row>
    <row r="36" spans="1:2" x14ac:dyDescent="0.25">
      <c r="A36" s="6" t="s">
        <v>3</v>
      </c>
      <c r="B36" t="s">
        <v>31</v>
      </c>
    </row>
    <row r="37" spans="1:2" x14ac:dyDescent="0.25">
      <c r="A37" s="7" t="s">
        <v>24</v>
      </c>
      <c r="B37" s="8">
        <v>446.89482758620665</v>
      </c>
    </row>
    <row r="38" spans="1:2" x14ac:dyDescent="0.25">
      <c r="A38" s="7" t="s">
        <v>19</v>
      </c>
      <c r="B38" s="8">
        <v>499.88275862068969</v>
      </c>
    </row>
    <row r="39" spans="1:2" x14ac:dyDescent="0.25">
      <c r="A39" s="7" t="s">
        <v>23</v>
      </c>
      <c r="B39" s="8">
        <v>690.38965517241411</v>
      </c>
    </row>
    <row r="40" spans="1:2" x14ac:dyDescent="0.25">
      <c r="A40" s="7" t="s">
        <v>16</v>
      </c>
      <c r="B40" s="8">
        <v>805.49152542372883</v>
      </c>
    </row>
    <row r="41" spans="1:2" x14ac:dyDescent="0.25">
      <c r="A41" s="7" t="s">
        <v>12</v>
      </c>
      <c r="B41" s="8">
        <v>1165.0355932203393</v>
      </c>
    </row>
    <row r="42" spans="1:2" x14ac:dyDescent="0.25">
      <c r="A42" s="7" t="s">
        <v>22</v>
      </c>
      <c r="B42" s="8">
        <v>1459.7724137931039</v>
      </c>
    </row>
    <row r="56" spans="1:2" x14ac:dyDescent="0.25">
      <c r="A56" s="6" t="s">
        <v>40</v>
      </c>
      <c r="B56" t="s">
        <v>31</v>
      </c>
    </row>
    <row r="57" spans="1:2" x14ac:dyDescent="0.25">
      <c r="A57" s="7" t="s">
        <v>33</v>
      </c>
      <c r="B57" s="8">
        <v>787.27371428571473</v>
      </c>
    </row>
    <row r="58" spans="1:2" x14ac:dyDescent="0.25">
      <c r="A58" s="7" t="s">
        <v>32</v>
      </c>
      <c r="B58" s="8">
        <v>903.48971428571406</v>
      </c>
    </row>
    <row r="72" spans="1:2" x14ac:dyDescent="0.25">
      <c r="A72" s="6" t="s">
        <v>41</v>
      </c>
      <c r="B72" t="s">
        <v>31</v>
      </c>
    </row>
    <row r="73" spans="1:2" x14ac:dyDescent="0.25">
      <c r="A73" s="7" t="s">
        <v>34</v>
      </c>
      <c r="B73" s="8">
        <v>595.13620689655215</v>
      </c>
    </row>
    <row r="74" spans="1:2" x14ac:dyDescent="0.25">
      <c r="A74" s="7" t="s">
        <v>35</v>
      </c>
      <c r="B74" s="8">
        <v>969.43504273504266</v>
      </c>
    </row>
    <row r="84" spans="1:2" x14ac:dyDescent="0.25">
      <c r="A84" s="6" t="s">
        <v>25</v>
      </c>
      <c r="B84" t="s">
        <v>31</v>
      </c>
    </row>
    <row r="85" spans="1:2" x14ac:dyDescent="0.25">
      <c r="A85" s="7" t="s">
        <v>38</v>
      </c>
      <c r="B85" s="8">
        <v>463.62241379310325</v>
      </c>
    </row>
    <row r="86" spans="1:2" x14ac:dyDescent="0.25">
      <c r="A86" s="7" t="s">
        <v>39</v>
      </c>
      <c r="B86" s="8">
        <v>499.88275862068969</v>
      </c>
    </row>
    <row r="87" spans="1:2" x14ac:dyDescent="0.25">
      <c r="A87" s="7" t="s">
        <v>37</v>
      </c>
      <c r="B87" s="8">
        <v>875.11623931623933</v>
      </c>
    </row>
    <row r="88" spans="1:2" x14ac:dyDescent="0.25">
      <c r="A88" s="7" t="s">
        <v>36</v>
      </c>
      <c r="B88" s="8">
        <v>1176.1683760683761</v>
      </c>
    </row>
    <row r="104" spans="1:3" x14ac:dyDescent="0.25">
      <c r="A104" s="6" t="s">
        <v>1</v>
      </c>
      <c r="B104" t="s">
        <v>31</v>
      </c>
      <c r="C104" t="s">
        <v>49</v>
      </c>
    </row>
    <row r="105" spans="1:3" x14ac:dyDescent="0.25">
      <c r="A105" s="7" t="s">
        <v>11</v>
      </c>
      <c r="B105" s="8">
        <v>703.82857142857222</v>
      </c>
      <c r="C105" s="2">
        <v>1883</v>
      </c>
    </row>
    <row r="106" spans="1:3" x14ac:dyDescent="0.25">
      <c r="A106" s="7" t="s">
        <v>15</v>
      </c>
      <c r="B106" s="8">
        <v>986.9348571428568</v>
      </c>
      <c r="C106" s="2">
        <v>2527</v>
      </c>
    </row>
    <row r="123" spans="1:3" x14ac:dyDescent="0.25">
      <c r="A123" s="6" t="s">
        <v>51</v>
      </c>
      <c r="B123" s="6" t="s">
        <v>50</v>
      </c>
    </row>
    <row r="124" spans="1:3" x14ac:dyDescent="0.25">
      <c r="A124" s="6" t="s">
        <v>47</v>
      </c>
      <c r="B124" t="s">
        <v>34</v>
      </c>
      <c r="C124" t="s">
        <v>35</v>
      </c>
    </row>
    <row r="125" spans="1:3" x14ac:dyDescent="0.25">
      <c r="A125" s="7" t="s">
        <v>19</v>
      </c>
      <c r="B125" s="2">
        <v>58</v>
      </c>
      <c r="C125" s="2"/>
    </row>
    <row r="126" spans="1:3" x14ac:dyDescent="0.25">
      <c r="A126" s="7" t="s">
        <v>24</v>
      </c>
      <c r="B126" s="2"/>
      <c r="C126" s="2">
        <v>58</v>
      </c>
    </row>
    <row r="127" spans="1:3" x14ac:dyDescent="0.25">
      <c r="A127" s="7" t="s">
        <v>16</v>
      </c>
      <c r="B127" s="2"/>
      <c r="C127" s="2">
        <v>59</v>
      </c>
    </row>
    <row r="128" spans="1:3" x14ac:dyDescent="0.25">
      <c r="A128" s="7" t="s">
        <v>23</v>
      </c>
      <c r="B128" s="2">
        <v>58</v>
      </c>
      <c r="C128" s="2"/>
    </row>
    <row r="129" spans="1:3" x14ac:dyDescent="0.25">
      <c r="A129" s="7" t="s">
        <v>12</v>
      </c>
      <c r="B129" s="2"/>
      <c r="C129" s="2">
        <v>59</v>
      </c>
    </row>
    <row r="130" spans="1:3" x14ac:dyDescent="0.25">
      <c r="A130" s="7" t="s">
        <v>22</v>
      </c>
      <c r="B130" s="2"/>
      <c r="C130" s="2">
        <v>58</v>
      </c>
    </row>
    <row r="134" spans="1:3" x14ac:dyDescent="0.25">
      <c r="A134" s="6" t="s">
        <v>8</v>
      </c>
      <c r="B134" t="s">
        <v>48</v>
      </c>
    </row>
    <row r="135" spans="1:3" x14ac:dyDescent="0.25">
      <c r="A135" s="7" t="s">
        <v>32</v>
      </c>
      <c r="B135" s="2">
        <v>175</v>
      </c>
    </row>
    <row r="136" spans="1:3" x14ac:dyDescent="0.25">
      <c r="A136" s="7" t="s">
        <v>33</v>
      </c>
      <c r="B136" s="2">
        <v>175</v>
      </c>
    </row>
  </sheetData>
  <sortState ref="A2:C5">
    <sortCondition ref="C2"/>
  </sortState>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showRowColHeaders="0" topLeftCell="A10" zoomScale="55" zoomScaleNormal="55" workbookViewId="0">
      <selection activeCell="A27" sqref="A27"/>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Summary Stats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monso</dc:creator>
  <cp:lastModifiedBy>monso</cp:lastModifiedBy>
  <dcterms:created xsi:type="dcterms:W3CDTF">2026-05-13T01:51:52Z</dcterms:created>
  <dcterms:modified xsi:type="dcterms:W3CDTF">2026-05-21T11:18:37Z</dcterms:modified>
</cp:coreProperties>
</file>